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ebd91e607248c2/TASKS/TASK 11/"/>
    </mc:Choice>
  </mc:AlternateContent>
  <xr:revisionPtr revIDLastSave="2" documentId="8_{5D4A9145-0A2C-42DE-B558-389F73B75CF6}" xr6:coauthVersionLast="47" xr6:coauthVersionMax="47" xr10:uidLastSave="{8FDAA1BF-26D9-49E1-B89A-012315474B84}"/>
  <bookViews>
    <workbookView xWindow="-108" yWindow="-108" windowWidth="23256" windowHeight="12456" firstSheet="3" activeTab="4" xr2:uid="{CFB15F71-028C-4B70-BBC1-9AF5761C1593}"/>
  </bookViews>
  <sheets>
    <sheet name="Avg LeadTimeDays by Cancelled" sheetId="3" r:id="rId1"/>
    <sheet name="Avg RevenuePotential by Booking" sheetId="4" r:id="rId2"/>
    <sheet name="Cancellation rate by HotelType" sheetId="2" r:id="rId3"/>
    <sheet name="Avg Revenue by LeadTimeCategory" sheetId="6" r:id="rId4"/>
    <sheet name="Dataset" sheetId="1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3" l="1"/>
  <c r="B14" i="6"/>
  <c r="B10" i="6"/>
  <c r="B15" i="4"/>
  <c r="B11" i="4"/>
  <c r="B9" i="3"/>
  <c r="B14" i="2"/>
  <c r="B10" i="2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<sst xmlns="http://schemas.openxmlformats.org/spreadsheetml/2006/main" count="71" uniqueCount="33">
  <si>
    <t>BookingID</t>
  </si>
  <si>
    <t>HotelType</t>
  </si>
  <si>
    <t>LeadTimeDays</t>
  </si>
  <si>
    <t>StayDuration</t>
  </si>
  <si>
    <t>Guests</t>
  </si>
  <si>
    <t>BookingChannel</t>
  </si>
  <si>
    <t>AvgDailyRate</t>
  </si>
  <si>
    <t>Cancelled</t>
  </si>
  <si>
    <t>Resort</t>
  </si>
  <si>
    <t>Online</t>
  </si>
  <si>
    <t>No</t>
  </si>
  <si>
    <t>City Hotel</t>
  </si>
  <si>
    <t>Agent</t>
  </si>
  <si>
    <t>Yes</t>
  </si>
  <si>
    <t>Direct</t>
  </si>
  <si>
    <t>CancelFlag</t>
  </si>
  <si>
    <t>RevenuePotential</t>
  </si>
  <si>
    <t>LeadTimeCategory</t>
  </si>
  <si>
    <t>Grand Total</t>
  </si>
  <si>
    <t>Sum of CancelFlag</t>
  </si>
  <si>
    <t>Which HotelType has the lowest  Cancellation rate</t>
  </si>
  <si>
    <t>What's the lowest cancellation rate</t>
  </si>
  <si>
    <t>Avg LeadTimeDays</t>
  </si>
  <si>
    <t>What's the highest cancellation rate</t>
  </si>
  <si>
    <t>Avg RevenuePotential</t>
  </si>
  <si>
    <t>Which bookings cancel the most</t>
  </si>
  <si>
    <t>What's the highest booking cancel rate</t>
  </si>
  <si>
    <t>Long</t>
  </si>
  <si>
    <t>Medium</t>
  </si>
  <si>
    <t>Short</t>
  </si>
  <si>
    <t xml:space="preserve">What's the highest revenue generated </t>
  </si>
  <si>
    <t>Is Cancelled has more LeadTimeDays</t>
  </si>
  <si>
    <t xml:space="preserve">Which LeadTimeCategory has generated highest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</si>
</sst>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₹-44A]* #,##0.00_-;\-[$₹-44A]* #,##0.00_-;_-[$₹-44A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164" fontId="2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pivotButton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3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11.xlsx]Avg LeadTimeDays by Cancelled!PivotTable2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LeadTimeDays by Cancelled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'Avg LeadTimeDays by Cancelled'!$B$3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CA3-453E-B169-8183B3EE8A7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CA3-453E-B169-8183B3EE8A7B}"/>
              </c:ext>
            </c:extLst>
          </c:dPt>
          <c:cat>
            <c:strRef>
              <c:f>'Avg LeadTimeDays by Cancelled'!$A$4:$A$6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'Avg LeadTimeDays by Cancelled'!$B$4:$B$6</c:f>
              <c:numCache>
                <c:formatCode>General</c:formatCode>
                <c:ptCount val="2"/>
                <c:pt idx="0">
                  <c:v>20</c:v>
                </c:pt>
                <c:pt idx="1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B-4303-9B56-D578C604E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77844672"/>
        <c:axId val="777845920"/>
      </c:barChart>
      <c:catAx>
        <c:axId val="77784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45920"/>
        <c:crosses val="autoZero"/>
        <c:auto val="1"/>
        <c:lblAlgn val="ctr"/>
        <c:lblOffset val="100"/>
        <c:noMultiLvlLbl val="0"/>
      </c:catAx>
      <c:valAx>
        <c:axId val="77784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4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11.xlsx]Avg RevenuePotential by Booking!PivotTable3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RevenuePotential by BookingChannel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'Avg RevenuePotential by Booking'!$B$3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488-4B4D-A3F5-6B8B84FEBF9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88-4B4D-A3F5-6B8B84FEBF9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488-4B4D-A3F5-6B8B84FEBF91}"/>
              </c:ext>
            </c:extLst>
          </c:dPt>
          <c:cat>
            <c:strRef>
              <c:f>'Avg RevenuePotential by Booking'!$A$4:$A$7</c:f>
              <c:strCache>
                <c:ptCount val="3"/>
                <c:pt idx="0">
                  <c:v>Direct</c:v>
                </c:pt>
                <c:pt idx="1">
                  <c:v>Online</c:v>
                </c:pt>
                <c:pt idx="2">
                  <c:v>Agent</c:v>
                </c:pt>
              </c:strCache>
            </c:strRef>
          </c:cat>
          <c:val>
            <c:numRef>
              <c:f>'Avg RevenuePotential by Booking'!$B$4:$B$7</c:f>
              <c:numCache>
                <c:formatCode>0.00</c:formatCode>
                <c:ptCount val="3"/>
                <c:pt idx="0">
                  <c:v>25066.666666666668</c:v>
                </c:pt>
                <c:pt idx="1">
                  <c:v>10475</c:v>
                </c:pt>
                <c:pt idx="2">
                  <c:v>6466.666666666667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F-434B-8AE4-58E90A3E9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968192"/>
        <c:axId val="833969024"/>
      </c:barChart>
      <c:catAx>
        <c:axId val="83396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969024"/>
        <c:crosses val="autoZero"/>
        <c:auto val="1"/>
        <c:lblAlgn val="ctr"/>
        <c:lblOffset val="100"/>
        <c:noMultiLvlLbl val="0"/>
      </c:catAx>
      <c:valAx>
        <c:axId val="83396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96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11.xlsx]Cancellation rate by HotelType!PivotTable1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Cancellation rate by HotelType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'Cancellation rate by HotelType'!$B$3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A2-499F-97D8-FA0ACECA38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A2-499F-97D8-FA0ACECA38AC}"/>
              </c:ext>
            </c:extLst>
          </c:dPt>
          <c:cat>
            <c:strRef>
              <c:f>'Cancellation rate by HotelType'!$A$4:$A$6</c:f>
              <c:strCache>
                <c:ptCount val="2"/>
                <c:pt idx="0">
                  <c:v>City Hotel</c:v>
                </c:pt>
                <c:pt idx="1">
                  <c:v>Resort</c:v>
                </c:pt>
              </c:strCache>
            </c:strRef>
          </c:cat>
          <c:val>
            <c:numRef>
              <c:f>'Cancellation rate by HotelType'!$B$4:$B$6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F-4E93-A211-9BBFA954A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11.xlsx]Avg Revenue by LeadTimeCategory!PivotTable2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Revenue by LeadTimeCategory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'Avg Revenue by LeadTimeCategory'!$B$3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41-44BA-81C5-23C401406000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41-44BA-81C5-23C401406000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F41-44BA-81C5-23C401406000}"/>
              </c:ext>
            </c:extLst>
          </c:dPt>
          <c:cat>
            <c:strRef>
              <c:f>'Avg Revenue by LeadTimeCategory'!$A$4:$A$7</c:f>
              <c:strCache>
                <c:ptCount val="3"/>
                <c:pt idx="0">
                  <c:v>Short</c:v>
                </c:pt>
                <c:pt idx="1">
                  <c:v>Medium</c:v>
                </c:pt>
                <c:pt idx="2">
                  <c:v>Long</c:v>
                </c:pt>
              </c:strCache>
            </c:strRef>
          </c:cat>
          <c:val>
            <c:numRef>
              <c:f>'Avg Revenue by LeadTimeCategory'!$B$4:$B$7</c:f>
              <c:numCache>
                <c:formatCode>_-[$₹-44A]* #,##0.00_-;\-[$₹-44A]* #,##0.00_-;_-[$₹-44A]* "-"??_-;_-@_-</c:formatCode>
                <c:ptCount val="3"/>
                <c:pt idx="0">
                  <c:v>22533.333333333332</c:v>
                </c:pt>
                <c:pt idx="1">
                  <c:v>15400</c:v>
                </c:pt>
                <c:pt idx="2">
                  <c:v>5675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B-4746-B1FF-18DFB4D04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175260</xdr:rowOff>
    </xdr:from>
    <xdr:to>
      <xdr:col>12</xdr:col>
      <xdr:colOff>7620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D14F88-695C-AD50-F689-DCCEF2862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167640</xdr:rowOff>
    </xdr:from>
    <xdr:to>
      <xdr:col>11</xdr:col>
      <xdr:colOff>441960</xdr:colOff>
      <xdr:row>24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A9910C-3F76-F9B9-90DE-50EE8E13B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22860</xdr:rowOff>
    </xdr:from>
    <xdr:to>
      <xdr:col>11</xdr:col>
      <xdr:colOff>312420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567A9-E9F4-FA3C-2F2D-99903E02E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10</xdr:col>
      <xdr:colOff>304800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B2470C-A0F7-A582-20D7-E33C365C1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46.760664236113" createdVersion="8" refreshedVersion="8" minRefreshableVersion="3" recordCount="10" xr:uid="{292B86E5-802C-4618-BEA5-F04FDDA0B800}">
  <cacheSource type="worksheet">
    <worksheetSource ref="A1:K11" sheet="Dataset"/>
  </cacheSource>
  <cacheFields count="11">
    <cacheField name="BookingID" numFmtId="0">
      <sharedItems containsSemiMixedTypes="0" containsString="0" containsNumber="1" containsInteger="1" minValue="8001" maxValue="8010"/>
    </cacheField>
    <cacheField name="HotelType" numFmtId="49">
      <sharedItems count="2">
        <s v="Resort"/>
        <s v="City Hotel"/>
      </sharedItems>
    </cacheField>
    <cacheField name="LeadTimeDays" numFmtId="0">
      <sharedItems containsSemiMixedTypes="0" containsString="0" containsNumber="1" containsInteger="1" minValue="10" maxValue="100"/>
    </cacheField>
    <cacheField name="StayDuration" numFmtId="0">
      <sharedItems containsSemiMixedTypes="0" containsString="0" containsNumber="1" containsInteger="1" minValue="1" maxValue="5"/>
    </cacheField>
    <cacheField name="Guests" numFmtId="0">
      <sharedItems containsSemiMixedTypes="0" containsString="0" containsNumber="1" containsInteger="1" minValue="1" maxValue="4"/>
    </cacheField>
    <cacheField name="BookingChannel" numFmtId="49">
      <sharedItems count="3">
        <s v="Online"/>
        <s v="Agent"/>
        <s v="Direct"/>
      </sharedItems>
    </cacheField>
    <cacheField name="AvgDailyRate" numFmtId="164">
      <sharedItems containsSemiMixedTypes="0" containsString="0" containsNumber="1" containsInteger="1" minValue="3000" maxValue="6000"/>
    </cacheField>
    <cacheField name="Cancelled" numFmtId="49">
      <sharedItems count="2">
        <s v="No"/>
        <s v="Yes"/>
      </sharedItems>
    </cacheField>
    <cacheField name="CancelFlag" numFmtId="0">
      <sharedItems containsSemiMixedTypes="0" containsString="0" containsNumber="1" containsInteger="1" minValue="0" maxValue="1"/>
    </cacheField>
    <cacheField name="RevenuePotential" numFmtId="164">
      <sharedItems containsSemiMixedTypes="0" containsString="0" containsNumber="1" containsInteger="1" minValue="3000" maxValue="30000"/>
    </cacheField>
    <cacheField name="LeadTimeCategory" numFmtId="49">
      <sharedItems count="3">
        <s v="Medium"/>
        <s v="Short"/>
        <s v="Lo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8001"/>
    <x v="0"/>
    <n v="30"/>
    <n v="3"/>
    <n v="2"/>
    <x v="0"/>
    <n v="5000"/>
    <x v="0"/>
    <n v="0"/>
    <n v="15000"/>
    <x v="0"/>
  </r>
  <r>
    <n v="8002"/>
    <x v="1"/>
    <n v="60"/>
    <n v="2"/>
    <n v="1"/>
    <x v="1"/>
    <n v="4000"/>
    <x v="1"/>
    <n v="1"/>
    <n v="8000"/>
    <x v="0"/>
  </r>
  <r>
    <n v="8003"/>
    <x v="0"/>
    <n v="10"/>
    <n v="5"/>
    <n v="4"/>
    <x v="2"/>
    <n v="6000"/>
    <x v="0"/>
    <n v="0"/>
    <n v="30000"/>
    <x v="1"/>
  </r>
  <r>
    <n v="8004"/>
    <x v="1"/>
    <n v="90"/>
    <n v="1"/>
    <n v="1"/>
    <x v="0"/>
    <n v="3500"/>
    <x v="1"/>
    <n v="1"/>
    <n v="3500"/>
    <x v="2"/>
  </r>
  <r>
    <n v="8005"/>
    <x v="0"/>
    <n v="20"/>
    <n v="4"/>
    <n v="3"/>
    <x v="2"/>
    <n v="5500"/>
    <x v="0"/>
    <n v="0"/>
    <n v="22000"/>
    <x v="1"/>
  </r>
  <r>
    <n v="8006"/>
    <x v="1"/>
    <n v="75"/>
    <n v="2"/>
    <n v="2"/>
    <x v="1"/>
    <n v="4200"/>
    <x v="1"/>
    <n v="1"/>
    <n v="8400"/>
    <x v="2"/>
  </r>
  <r>
    <n v="8007"/>
    <x v="0"/>
    <n v="15"/>
    <n v="3"/>
    <n v="2"/>
    <x v="0"/>
    <n v="5200"/>
    <x v="0"/>
    <n v="0"/>
    <n v="15600"/>
    <x v="1"/>
  </r>
  <r>
    <n v="8008"/>
    <x v="1"/>
    <n v="100"/>
    <n v="1"/>
    <n v="1"/>
    <x v="1"/>
    <n v="3000"/>
    <x v="1"/>
    <n v="1"/>
    <n v="3000"/>
    <x v="2"/>
  </r>
  <r>
    <n v="8009"/>
    <x v="0"/>
    <n v="25"/>
    <n v="4"/>
    <n v="3"/>
    <x v="2"/>
    <n v="5800"/>
    <x v="0"/>
    <n v="0"/>
    <n v="23200"/>
    <x v="0"/>
  </r>
  <r>
    <n v="8010"/>
    <x v="1"/>
    <n v="80"/>
    <n v="2"/>
    <n v="2"/>
    <x v="0"/>
    <n v="3900"/>
    <x v="1"/>
    <n v="1"/>
    <n v="78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B3559-81FE-4B4F-838A-039792BE314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ncelled">
  <location ref="A3:B6" firstHeaderRow="1" firstDataRow="1" firstDataCol="1"/>
  <pivotFields count="11">
    <pivotField showAll="0"/>
    <pivotField showAll="0"/>
    <pivotField dataField="1" showAll="0"/>
    <pivotField showAll="0"/>
    <pivotField showAll="0"/>
    <pivotField showAll="0"/>
    <pivotField numFmtId="164" showAll="0"/>
    <pivotField axis="axisRow" showAll="0" sortType="a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g LeadTimeDays" fld="2" subtotal="average" baseField="7" baseItem="0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7" type="button" dataOnly="0" labelOnly="1" outline="0" axis="axisRow" fieldPosition="0"/>
    </format>
    <format dxfId="16">
      <pivotArea dataOnly="0" labelOnly="1" fieldPosition="0">
        <references count="1">
          <reference field="7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0FA8E-7980-4914-A60E-1233340B768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BookingChannel">
  <location ref="A3:B7" firstHeaderRow="1" firstDataRow="1" firstDataCol="1"/>
  <pivotFields count="11"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dataField="1" numFmtId="164" showAll="0"/>
    <pivotField showAll="0"/>
  </pivotFields>
  <rowFields count="1">
    <field x="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Avg RevenuePotential" fld="9" subtotal="average" baseField="5" baseItem="0" numFmtId="2"/>
  </dataFields>
  <formats count="8"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5" type="button" dataOnly="0" labelOnly="1" outline="0" axis="axisRow" fieldPosition="0"/>
    </format>
    <format dxfId="8">
      <pivotArea dataOnly="0" labelOnly="1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AA43F-3D7C-4034-AB32-F44B84C4DF3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HotelType">
  <location ref="A3:B6" firstHeaderRow="1" firstDataRow="1" firstDataCol="1"/>
  <pivotFields count="11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64" showAll="0"/>
    <pivotField showAll="0"/>
    <pivotField dataField="1" showAll="0"/>
    <pivotField numFmtId="164"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CancelFlag" fld="8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0720F-656C-47D3-A5FF-2CC2C9C0604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LeadTimeCategory">
  <location ref="A3:B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Avg RevenuePotential" fld="9" subtotal="average" baseField="10" baseItem="0" numFmtId="164"/>
  </dataFields>
  <formats count="12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0" type="button" dataOnly="0" labelOnly="1" outline="0" axis="axisRow" fieldPosition="0"/>
    </format>
    <format dxfId="28">
      <pivotArea dataOnly="0" labelOnly="1" fieldPosition="0">
        <references count="1">
          <reference field="10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0" type="button" dataOnly="0" labelOnly="1" outline="0" axis="axisRow" fieldPosition="0"/>
    </format>
    <format dxfId="22">
      <pivotArea dataOnly="0" labelOnly="1" fieldPosition="0">
        <references count="1">
          <reference field="10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91F9-D1DC-4CB7-BF0C-2D1385141BE9}">
  <sheetPr codeName="Sheet3"/>
  <dimension ref="A3:B12"/>
  <sheetViews>
    <sheetView workbookViewId="0">
      <selection activeCell="B12" sqref="B12"/>
    </sheetView>
  </sheetViews>
  <sheetFormatPr defaultRowHeight="14.4" x14ac:dyDescent="0.3"/>
  <cols>
    <col min="1" max="1" width="32.21875" style="3" bestFit="1" customWidth="1"/>
    <col min="2" max="2" width="16.88671875" style="3" bestFit="1" customWidth="1"/>
    <col min="3" max="16384" width="8.88671875" style="3"/>
  </cols>
  <sheetData>
    <row r="3" spans="1:2" x14ac:dyDescent="0.3">
      <c r="A3" s="14" t="s">
        <v>7</v>
      </c>
      <c r="B3" s="3" t="s">
        <v>22</v>
      </c>
    </row>
    <row r="4" spans="1:2" x14ac:dyDescent="0.3">
      <c r="A4" s="3" t="s">
        <v>10</v>
      </c>
      <c r="B4" s="3">
        <v>20</v>
      </c>
    </row>
    <row r="5" spans="1:2" x14ac:dyDescent="0.3">
      <c r="A5" s="3" t="s">
        <v>13</v>
      </c>
      <c r="B5" s="3">
        <v>81</v>
      </c>
    </row>
    <row r="6" spans="1:2" x14ac:dyDescent="0.3">
      <c r="A6" s="3" t="s">
        <v>18</v>
      </c>
      <c r="B6" s="3">
        <v>50.5</v>
      </c>
    </row>
    <row r="9" spans="1:2" x14ac:dyDescent="0.3">
      <c r="A9" s="2" t="s">
        <v>31</v>
      </c>
      <c r="B9" s="2" t="str">
        <f>_xlfn.XLOOKUP(MAX(B4:B5),B4:B5,A4:A5,)</f>
        <v>Yes</v>
      </c>
    </row>
    <row r="12" spans="1:2" x14ac:dyDescent="0.3">
      <c r="A12" s="2" t="s">
        <v>23</v>
      </c>
      <c r="B12" s="2">
        <f>VLOOKUP(A5,A4:B5,2,FALSE)</f>
        <v>81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3C6D-1B96-47BB-B6E6-85AD930909ED}">
  <sheetPr codeName="Sheet4"/>
  <dimension ref="A3:B15"/>
  <sheetViews>
    <sheetView workbookViewId="0">
      <selection activeCell="N17" sqref="N17"/>
    </sheetView>
  </sheetViews>
  <sheetFormatPr defaultRowHeight="14.4" x14ac:dyDescent="0.3"/>
  <cols>
    <col min="1" max="1" width="32.88671875" style="3" bestFit="1" customWidth="1"/>
    <col min="2" max="2" width="19.77734375" style="15" bestFit="1" customWidth="1"/>
    <col min="3" max="16384" width="8.88671875" style="3"/>
  </cols>
  <sheetData>
    <row r="3" spans="1:2" x14ac:dyDescent="0.3">
      <c r="A3" s="14" t="s">
        <v>5</v>
      </c>
      <c r="B3" s="15" t="s">
        <v>24</v>
      </c>
    </row>
    <row r="4" spans="1:2" x14ac:dyDescent="0.3">
      <c r="A4" s="3" t="s">
        <v>14</v>
      </c>
      <c r="B4" s="15">
        <v>25066.666666666668</v>
      </c>
    </row>
    <row r="5" spans="1:2" x14ac:dyDescent="0.3">
      <c r="A5" s="3" t="s">
        <v>9</v>
      </c>
      <c r="B5" s="15">
        <v>10475</v>
      </c>
    </row>
    <row r="6" spans="1:2" x14ac:dyDescent="0.3">
      <c r="A6" s="3" t="s">
        <v>12</v>
      </c>
      <c r="B6" s="15">
        <v>6466.666666666667</v>
      </c>
    </row>
    <row r="7" spans="1:2" x14ac:dyDescent="0.3">
      <c r="A7" s="3" t="s">
        <v>18</v>
      </c>
      <c r="B7" s="15">
        <v>13650</v>
      </c>
    </row>
    <row r="11" spans="1:2" x14ac:dyDescent="0.3">
      <c r="A11" s="2" t="s">
        <v>25</v>
      </c>
      <c r="B11" s="16" t="str">
        <f>_xlfn.XLOOKUP(MAX(B4:B6),B4:B6,A4:A6,)</f>
        <v>Direct</v>
      </c>
    </row>
    <row r="15" spans="1:2" x14ac:dyDescent="0.3">
      <c r="A15" s="2" t="s">
        <v>26</v>
      </c>
      <c r="B15" s="16">
        <f>VLOOKUP(A4,A4:B6,2,FALSE)</f>
        <v>25066.666666666668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AF5C-367A-4A70-AF45-F561C9FAC527}">
  <sheetPr codeName="Sheet2"/>
  <dimension ref="A3:B14"/>
  <sheetViews>
    <sheetView workbookViewId="0">
      <selection activeCell="J21" sqref="J21"/>
    </sheetView>
  </sheetViews>
  <sheetFormatPr defaultRowHeight="14.4" x14ac:dyDescent="0.3"/>
  <cols>
    <col min="1" max="1" width="43.6640625" style="3" bestFit="1" customWidth="1"/>
    <col min="2" max="2" width="16.44140625" style="3" bestFit="1" customWidth="1"/>
    <col min="3" max="16384" width="8.88671875" style="3"/>
  </cols>
  <sheetData>
    <row r="3" spans="1:2" x14ac:dyDescent="0.3">
      <c r="A3" s="14" t="s">
        <v>1</v>
      </c>
      <c r="B3" s="3" t="s">
        <v>19</v>
      </c>
    </row>
    <row r="4" spans="1:2" x14ac:dyDescent="0.3">
      <c r="A4" s="3" t="s">
        <v>11</v>
      </c>
      <c r="B4" s="3">
        <v>5</v>
      </c>
    </row>
    <row r="5" spans="1:2" x14ac:dyDescent="0.3">
      <c r="A5" s="3" t="s">
        <v>8</v>
      </c>
      <c r="B5" s="3">
        <v>0</v>
      </c>
    </row>
    <row r="6" spans="1:2" x14ac:dyDescent="0.3">
      <c r="A6" s="3" t="s">
        <v>18</v>
      </c>
      <c r="B6" s="3">
        <v>5</v>
      </c>
    </row>
    <row r="10" spans="1:2" x14ac:dyDescent="0.3">
      <c r="A10" s="2" t="s">
        <v>20</v>
      </c>
      <c r="B10" s="2" t="str">
        <f>_xlfn.XLOOKUP(MIN(B4:B5),B4:B5,A4:A5,)</f>
        <v>Resort</v>
      </c>
    </row>
    <row r="14" spans="1:2" x14ac:dyDescent="0.3">
      <c r="A14" s="2" t="s">
        <v>21</v>
      </c>
      <c r="B14" s="2">
        <f>VLOOKUP(A5,A4:B5,2,FALSE)</f>
        <v>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4A17-3680-4C4B-9661-AF0F7EC1E046}">
  <sheetPr codeName="Sheet5"/>
  <dimension ref="A3:B14"/>
  <sheetViews>
    <sheetView workbookViewId="0">
      <selection activeCell="A17" sqref="A17"/>
    </sheetView>
  </sheetViews>
  <sheetFormatPr defaultRowHeight="14.4" x14ac:dyDescent="0.3"/>
  <cols>
    <col min="1" max="1" width="50.6640625" style="4" bestFit="1" customWidth="1"/>
    <col min="2" max="2" width="19.77734375" style="4" bestFit="1" customWidth="1"/>
    <col min="3" max="16384" width="8.88671875" style="4"/>
  </cols>
  <sheetData>
    <row r="3" spans="1:2" x14ac:dyDescent="0.3">
      <c r="A3" s="17" t="s">
        <v>17</v>
      </c>
      <c r="B3" s="4" t="s">
        <v>24</v>
      </c>
    </row>
    <row r="4" spans="1:2" x14ac:dyDescent="0.3">
      <c r="A4" s="4" t="s">
        <v>29</v>
      </c>
      <c r="B4" s="18">
        <v>22533.333333333332</v>
      </c>
    </row>
    <row r="5" spans="1:2" x14ac:dyDescent="0.3">
      <c r="A5" s="4" t="s">
        <v>28</v>
      </c>
      <c r="B5" s="18">
        <v>15400</v>
      </c>
    </row>
    <row r="6" spans="1:2" x14ac:dyDescent="0.3">
      <c r="A6" s="4" t="s">
        <v>27</v>
      </c>
      <c r="B6" s="18">
        <v>5675</v>
      </c>
    </row>
    <row r="7" spans="1:2" x14ac:dyDescent="0.3">
      <c r="A7" s="4" t="s">
        <v>18</v>
      </c>
      <c r="B7" s="18">
        <v>13650</v>
      </c>
    </row>
    <row r="10" spans="1:2" x14ac:dyDescent="0.3">
      <c r="A10" s="1" t="s">
        <v>32</v>
      </c>
      <c r="B10" s="1" t="str">
        <f>_xlfn.XLOOKUP(MAX(B4:B6),B4:B6,A4:A6,)</f>
        <v>Short</v>
      </c>
    </row>
    <row r="14" spans="1:2" x14ac:dyDescent="0.3">
      <c r="A14" s="1" t="s">
        <v>30</v>
      </c>
      <c r="B14" s="19">
        <f>VLOOKUP(A4,A4:B6,2,FALSE)</f>
        <v>22533.333333333332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A033-3787-49C7-82B5-9149BBA640A1}">
  <sheetPr codeName="Sheet1"/>
  <dimension ref="A1:K11"/>
  <sheetViews>
    <sheetView tabSelected="1" workbookViewId="0">
      <selection activeCell="G24" sqref="G24"/>
    </sheetView>
  </sheetViews>
  <sheetFormatPr defaultRowHeight="14.4" x14ac:dyDescent="0.3"/>
  <cols>
    <col min="1" max="1" width="9.6640625" style="3" bestFit="1" customWidth="1"/>
    <col min="2" max="2" width="9.5546875" style="7" bestFit="1" customWidth="1"/>
    <col min="3" max="3" width="13.21875" style="3" bestFit="1" customWidth="1"/>
    <col min="4" max="4" width="12" style="3" bestFit="1" customWidth="1"/>
    <col min="5" max="5" width="6.5546875" style="3" bestFit="1" customWidth="1"/>
    <col min="6" max="6" width="14.88671875" style="7" bestFit="1" customWidth="1"/>
    <col min="7" max="7" width="13.5546875" style="11" bestFit="1" customWidth="1"/>
    <col min="8" max="8" width="9.109375" style="7" bestFit="1" customWidth="1"/>
    <col min="9" max="9" width="9.88671875" style="3" bestFit="1" customWidth="1"/>
    <col min="10" max="10" width="17.44140625" style="13" bestFit="1" customWidth="1"/>
    <col min="11" max="11" width="16.77734375" style="7" bestFit="1" customWidth="1"/>
    <col min="12" max="16384" width="8.88671875" style="3"/>
  </cols>
  <sheetData>
    <row r="1" spans="1:11" x14ac:dyDescent="0.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9" t="s">
        <v>6</v>
      </c>
      <c r="H1" s="5" t="s">
        <v>7</v>
      </c>
      <c r="I1" s="2" t="s">
        <v>15</v>
      </c>
      <c r="J1" s="12" t="s">
        <v>16</v>
      </c>
      <c r="K1" s="8" t="s">
        <v>17</v>
      </c>
    </row>
    <row r="2" spans="1:11" x14ac:dyDescent="0.3">
      <c r="A2" s="4">
        <v>8001</v>
      </c>
      <c r="B2" s="6" t="s">
        <v>8</v>
      </c>
      <c r="C2" s="4">
        <v>30</v>
      </c>
      <c r="D2" s="4">
        <v>3</v>
      </c>
      <c r="E2" s="4">
        <v>2</v>
      </c>
      <c r="F2" s="6" t="s">
        <v>9</v>
      </c>
      <c r="G2" s="10">
        <v>5000</v>
      </c>
      <c r="H2" s="6" t="s">
        <v>10</v>
      </c>
      <c r="I2" s="3">
        <f>IF(H2="Yes",1,0)</f>
        <v>0</v>
      </c>
      <c r="J2" s="13">
        <f>D2*G2</f>
        <v>15000</v>
      </c>
      <c r="K2" s="7" t="str">
        <f>IF(C2&lt;=20,"Short",IF(C2&lt;=60,"Medium","Long"))</f>
        <v>Medium</v>
      </c>
    </row>
    <row r="3" spans="1:11" x14ac:dyDescent="0.3">
      <c r="A3" s="4">
        <v>8002</v>
      </c>
      <c r="B3" s="6" t="s">
        <v>11</v>
      </c>
      <c r="C3" s="4">
        <v>60</v>
      </c>
      <c r="D3" s="4">
        <v>2</v>
      </c>
      <c r="E3" s="4">
        <v>1</v>
      </c>
      <c r="F3" s="6" t="s">
        <v>12</v>
      </c>
      <c r="G3" s="10">
        <v>4000</v>
      </c>
      <c r="H3" s="6" t="s">
        <v>13</v>
      </c>
      <c r="I3" s="3">
        <f t="shared" ref="I3:I11" si="0">IF(H3="Yes",1,0)</f>
        <v>1</v>
      </c>
      <c r="J3" s="13">
        <f t="shared" ref="J3:J11" si="1">D3*G3</f>
        <v>8000</v>
      </c>
      <c r="K3" s="7" t="str">
        <f t="shared" ref="K3:K11" si="2">IF(C3&lt;=20,"Short",IF(C3&lt;=60,"Medium","Long"))</f>
        <v>Medium</v>
      </c>
    </row>
    <row r="4" spans="1:11" x14ac:dyDescent="0.3">
      <c r="A4" s="4">
        <v>8003</v>
      </c>
      <c r="B4" s="6" t="s">
        <v>8</v>
      </c>
      <c r="C4" s="4">
        <v>10</v>
      </c>
      <c r="D4" s="4">
        <v>5</v>
      </c>
      <c r="E4" s="4">
        <v>4</v>
      </c>
      <c r="F4" s="6" t="s">
        <v>14</v>
      </c>
      <c r="G4" s="10">
        <v>6000</v>
      </c>
      <c r="H4" s="6" t="s">
        <v>10</v>
      </c>
      <c r="I4" s="3">
        <f t="shared" si="0"/>
        <v>0</v>
      </c>
      <c r="J4" s="13">
        <f t="shared" si="1"/>
        <v>30000</v>
      </c>
      <c r="K4" s="7" t="str">
        <f t="shared" si="2"/>
        <v>Short</v>
      </c>
    </row>
    <row r="5" spans="1:11" x14ac:dyDescent="0.3">
      <c r="A5" s="4">
        <v>8004</v>
      </c>
      <c r="B5" s="6" t="s">
        <v>11</v>
      </c>
      <c r="C5" s="4">
        <v>90</v>
      </c>
      <c r="D5" s="4">
        <v>1</v>
      </c>
      <c r="E5" s="4">
        <v>1</v>
      </c>
      <c r="F5" s="6" t="s">
        <v>9</v>
      </c>
      <c r="G5" s="10">
        <v>3500</v>
      </c>
      <c r="H5" s="6" t="s">
        <v>13</v>
      </c>
      <c r="I5" s="3">
        <f t="shared" si="0"/>
        <v>1</v>
      </c>
      <c r="J5" s="13">
        <f t="shared" si="1"/>
        <v>3500</v>
      </c>
      <c r="K5" s="7" t="str">
        <f t="shared" si="2"/>
        <v>Long</v>
      </c>
    </row>
    <row r="6" spans="1:11" x14ac:dyDescent="0.3">
      <c r="A6" s="4">
        <v>8005</v>
      </c>
      <c r="B6" s="6" t="s">
        <v>8</v>
      </c>
      <c r="C6" s="4">
        <v>20</v>
      </c>
      <c r="D6" s="4">
        <v>4</v>
      </c>
      <c r="E6" s="4">
        <v>3</v>
      </c>
      <c r="F6" s="6" t="s">
        <v>14</v>
      </c>
      <c r="G6" s="10">
        <v>5500</v>
      </c>
      <c r="H6" s="6" t="s">
        <v>10</v>
      </c>
      <c r="I6" s="3">
        <f t="shared" si="0"/>
        <v>0</v>
      </c>
      <c r="J6" s="13">
        <f t="shared" si="1"/>
        <v>22000</v>
      </c>
      <c r="K6" s="7" t="str">
        <f t="shared" si="2"/>
        <v>Short</v>
      </c>
    </row>
    <row r="7" spans="1:11" x14ac:dyDescent="0.3">
      <c r="A7" s="4">
        <v>8006</v>
      </c>
      <c r="B7" s="6" t="s">
        <v>11</v>
      </c>
      <c r="C7" s="4">
        <v>75</v>
      </c>
      <c r="D7" s="4">
        <v>2</v>
      </c>
      <c r="E7" s="4">
        <v>2</v>
      </c>
      <c r="F7" s="6" t="s">
        <v>12</v>
      </c>
      <c r="G7" s="10">
        <v>4200</v>
      </c>
      <c r="H7" s="6" t="s">
        <v>13</v>
      </c>
      <c r="I7" s="3">
        <f t="shared" si="0"/>
        <v>1</v>
      </c>
      <c r="J7" s="13">
        <f t="shared" si="1"/>
        <v>8400</v>
      </c>
      <c r="K7" s="7" t="str">
        <f t="shared" si="2"/>
        <v>Long</v>
      </c>
    </row>
    <row r="8" spans="1:11" x14ac:dyDescent="0.3">
      <c r="A8" s="4">
        <v>8007</v>
      </c>
      <c r="B8" s="6" t="s">
        <v>8</v>
      </c>
      <c r="C8" s="4">
        <v>15</v>
      </c>
      <c r="D8" s="4">
        <v>3</v>
      </c>
      <c r="E8" s="4">
        <v>2</v>
      </c>
      <c r="F8" s="6" t="s">
        <v>9</v>
      </c>
      <c r="G8" s="10">
        <v>5200</v>
      </c>
      <c r="H8" s="6" t="s">
        <v>10</v>
      </c>
      <c r="I8" s="3">
        <f t="shared" si="0"/>
        <v>0</v>
      </c>
      <c r="J8" s="13">
        <f t="shared" si="1"/>
        <v>15600</v>
      </c>
      <c r="K8" s="7" t="str">
        <f t="shared" si="2"/>
        <v>Short</v>
      </c>
    </row>
    <row r="9" spans="1:11" x14ac:dyDescent="0.3">
      <c r="A9" s="4">
        <v>8008</v>
      </c>
      <c r="B9" s="6" t="s">
        <v>11</v>
      </c>
      <c r="C9" s="4">
        <v>100</v>
      </c>
      <c r="D9" s="4">
        <v>1</v>
      </c>
      <c r="E9" s="4">
        <v>1</v>
      </c>
      <c r="F9" s="6" t="s">
        <v>12</v>
      </c>
      <c r="G9" s="10">
        <v>3000</v>
      </c>
      <c r="H9" s="6" t="s">
        <v>13</v>
      </c>
      <c r="I9" s="3">
        <f t="shared" si="0"/>
        <v>1</v>
      </c>
      <c r="J9" s="13">
        <f t="shared" si="1"/>
        <v>3000</v>
      </c>
      <c r="K9" s="7" t="str">
        <f t="shared" si="2"/>
        <v>Long</v>
      </c>
    </row>
    <row r="10" spans="1:11" x14ac:dyDescent="0.3">
      <c r="A10" s="4">
        <v>8009</v>
      </c>
      <c r="B10" s="6" t="s">
        <v>8</v>
      </c>
      <c r="C10" s="4">
        <v>25</v>
      </c>
      <c r="D10" s="4">
        <v>4</v>
      </c>
      <c r="E10" s="4">
        <v>3</v>
      </c>
      <c r="F10" s="6" t="s">
        <v>14</v>
      </c>
      <c r="G10" s="10">
        <v>5800</v>
      </c>
      <c r="H10" s="6" t="s">
        <v>10</v>
      </c>
      <c r="I10" s="3">
        <f t="shared" si="0"/>
        <v>0</v>
      </c>
      <c r="J10" s="13">
        <f t="shared" si="1"/>
        <v>23200</v>
      </c>
      <c r="K10" s="7" t="str">
        <f t="shared" si="2"/>
        <v>Medium</v>
      </c>
    </row>
    <row r="11" spans="1:11" x14ac:dyDescent="0.3">
      <c r="A11" s="4">
        <v>8010</v>
      </c>
      <c r="B11" s="6" t="s">
        <v>11</v>
      </c>
      <c r="C11" s="4">
        <v>80</v>
      </c>
      <c r="D11" s="4">
        <v>2</v>
      </c>
      <c r="E11" s="4">
        <v>2</v>
      </c>
      <c r="F11" s="6" t="s">
        <v>9</v>
      </c>
      <c r="G11" s="10">
        <v>3900</v>
      </c>
      <c r="H11" s="6" t="s">
        <v>13</v>
      </c>
      <c r="I11" s="3">
        <f t="shared" si="0"/>
        <v>1</v>
      </c>
      <c r="J11" s="13">
        <f t="shared" si="1"/>
        <v>7800</v>
      </c>
      <c r="K11" s="7" t="str">
        <f t="shared" si="2"/>
        <v>Long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Avg LeadTimeDays by Cancelled</vt:lpstr>
      <vt:lpstr>Avg RevenuePotential by Booking</vt:lpstr>
      <vt:lpstr>Cancellation rate by HotelType</vt:lpstr>
      <vt:lpstr>Avg Revenue by LeadTimeCategory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Swaroopa B</cp:lastModifiedBy>
  <dcterms:created xsi:type="dcterms:W3CDTF">2026-05-04T12:28:47Z</dcterms:created>
  <dcterms:modified xsi:type="dcterms:W3CDTF">2026-05-04T16:05:44Z</dcterms:modified>
</cp:coreProperties>
</file>