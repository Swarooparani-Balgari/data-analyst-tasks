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TASKS\TASK 6\"/>
    </mc:Choice>
  </mc:AlternateContent>
  <xr:revisionPtr revIDLastSave="0" documentId="13_ncr:1_{4212B307-004C-496C-BE48-6FF13D3A44F4}" xr6:coauthVersionLast="47" xr6:coauthVersionMax="47" xr10:uidLastSave="{00000000-0000-0000-0000-000000000000}"/>
  <bookViews>
    <workbookView xWindow="-108" yWindow="-108" windowWidth="23256" windowHeight="12456" firstSheet="3" activeTab="4" xr2:uid="{B81B4D83-4AA2-4E1D-905E-B16B788EB6E4}"/>
  </bookViews>
  <sheets>
    <sheet name="Salary by JobRole" sheetId="5" r:id="rId1"/>
    <sheet name="Attrition count by Department" sheetId="2" r:id="rId2"/>
    <sheet name="Avg Salary by Department" sheetId="3" r:id="rId3"/>
    <sheet name="Avg WorkHoursPerWeek by Depart" sheetId="6" r:id="rId4"/>
    <sheet name="Attrition by ExperienceLevel" sheetId="4" r:id="rId5"/>
    <sheet name="Dataset" sheetId="1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" l="1" a="1"/>
  <c r="B10" i="2" s="1"/>
  <c r="B11" i="6"/>
  <c r="B10" i="5"/>
  <c r="B10" i="4"/>
  <c r="B10" i="3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<sst xmlns="http://schemas.openxmlformats.org/spreadsheetml/2006/main" count="78" uniqueCount="30">
  <si>
    <t>EmpID</t>
  </si>
  <si>
    <t>Age</t>
  </si>
  <si>
    <t>Department</t>
  </si>
  <si>
    <t>JobRole</t>
  </si>
  <si>
    <t>Salary</t>
  </si>
  <si>
    <t>YearsAtCompany</t>
  </si>
  <si>
    <t>WorkHoursPerWeek</t>
  </si>
  <si>
    <t>Attrition</t>
  </si>
  <si>
    <t>Sales</t>
  </si>
  <si>
    <t>Executive</t>
  </si>
  <si>
    <t>Yes</t>
  </si>
  <si>
    <t>IT</t>
  </si>
  <si>
    <t>Developer</t>
  </si>
  <si>
    <t>No</t>
  </si>
  <si>
    <t>HR</t>
  </si>
  <si>
    <t>Manager</t>
  </si>
  <si>
    <t>AttritionFlag</t>
  </si>
  <si>
    <t>ExperienceLevel</t>
  </si>
  <si>
    <t>Grand Total</t>
  </si>
  <si>
    <t>Count of Attrition</t>
  </si>
  <si>
    <t>Department with highest Attrition</t>
  </si>
  <si>
    <t>Sum of Salary</t>
  </si>
  <si>
    <t>Avg of Salary</t>
  </si>
  <si>
    <t>Department with lowest avg Salary</t>
  </si>
  <si>
    <t>Low</t>
  </si>
  <si>
    <t>Medium</t>
  </si>
  <si>
    <t>Which ExperienceLevel has lowest Attrition</t>
  </si>
  <si>
    <t>Which JobRole has highest Salary</t>
  </si>
  <si>
    <t>Avg of WorkHoursPerWeek</t>
  </si>
  <si>
    <t xml:space="preserve">Which Department has lowest Avg WorkHoursPerWeek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</si>
</sst>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6.xlsx]Salary by JobRole!PivotTable4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by JobRole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'Salary by JobRole'!$B$3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6A-4D6D-BF2D-55BFDC16C7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6A-4D6D-BF2D-55BFDC16C7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6A-4D6D-BF2D-55BFDC16C75E}"/>
              </c:ext>
            </c:extLst>
          </c:dPt>
          <c:cat>
            <c:strRef>
              <c:f>'Salary by JobRole'!$A$4:$A$7</c:f>
              <c:strCache>
                <c:ptCount val="3"/>
                <c:pt idx="0">
                  <c:v>Developer</c:v>
                </c:pt>
                <c:pt idx="1">
                  <c:v>Manager</c:v>
                </c:pt>
                <c:pt idx="2">
                  <c:v>Executive</c:v>
                </c:pt>
              </c:strCache>
            </c:strRef>
          </c:cat>
          <c:val>
            <c:numRef>
              <c:f>'Salary by JobRole'!$B$4:$B$7</c:f>
              <c:numCache>
                <c:formatCode>"₹"\ #,##0.00</c:formatCode>
                <c:ptCount val="3"/>
                <c:pt idx="0">
                  <c:v>245000</c:v>
                </c:pt>
                <c:pt idx="1">
                  <c:v>200000</c:v>
                </c:pt>
                <c:pt idx="2">
                  <c:v>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A-4D6D-BF2D-55BFDC16C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273664"/>
        <c:axId val="558261184"/>
      </c:barChart>
      <c:catAx>
        <c:axId val="55827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261184"/>
        <c:crosses val="autoZero"/>
        <c:auto val="1"/>
        <c:lblAlgn val="ctr"/>
        <c:lblOffset val="100"/>
        <c:noMultiLvlLbl val="0"/>
      </c:catAx>
      <c:valAx>
        <c:axId val="5582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27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6.xlsx]Attrition count by Department!PivotTable1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1">
              <a:lumMod val="85000"/>
              <a:lumOff val="15000"/>
              <a:alpha val="8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'Attrition count by Department'!$B$3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0CD-49D0-8045-93E174344C31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0CD-49D0-8045-93E174344C31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0CD-49D0-8045-93E174344C31}"/>
              </c:ext>
            </c:extLst>
          </c:dPt>
          <c:cat>
            <c:strRef>
              <c:f>'Attrition count by Department'!$A$4:$A$7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'Attrition count by Department'!$B$4:$B$7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CD-49D0-8045-93E174344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9544576"/>
        <c:axId val="559537856"/>
      </c:barChart>
      <c:catAx>
        <c:axId val="559544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37856"/>
        <c:crosses val="autoZero"/>
        <c:auto val="1"/>
        <c:lblAlgn val="ctr"/>
        <c:lblOffset val="100"/>
        <c:noMultiLvlLbl val="0"/>
      </c:catAx>
      <c:valAx>
        <c:axId val="5595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4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6.xlsx]Avg Salary by Department!PivotTable2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'Avg Salary by Department'!$B$3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DB-44F0-AC0E-B60490E1527C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B-44F0-AC0E-B60490E1527C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DB-44F0-AC0E-B60490E1527C}"/>
              </c:ext>
            </c:extLst>
          </c:dPt>
          <c:cat>
            <c:strRef>
              <c:f>'Avg Salary by Department'!$A$4:$A$7</c:f>
              <c:strCache>
                <c:ptCount val="3"/>
                <c:pt idx="0">
                  <c:v>IT</c:v>
                </c:pt>
                <c:pt idx="1">
                  <c:v>HR</c:v>
                </c:pt>
                <c:pt idx="2">
                  <c:v>Sales</c:v>
                </c:pt>
              </c:strCache>
            </c:strRef>
          </c:cat>
          <c:val>
            <c:numRef>
              <c:f>'Avg Salary by Department'!$B$4:$B$7</c:f>
              <c:numCache>
                <c:formatCode>"₹"\ #,##0.00</c:formatCode>
                <c:ptCount val="3"/>
                <c:pt idx="0">
                  <c:v>61250</c:v>
                </c:pt>
                <c:pt idx="1">
                  <c:v>54000</c:v>
                </c:pt>
                <c:pt idx="2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B-44F0-AC0E-B60490E15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6.xlsx]Avg WorkHoursPerWeek by Depart!PivotTable5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WorkHoursPerWeek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'Avg WorkHoursPerWeek by Depart'!$B$3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F8-4380-B1FE-8A7BF7952EF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F8-4380-B1FE-8A7BF7952EF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DF8-4380-B1FE-8A7BF7952EF4}"/>
              </c:ext>
            </c:extLst>
          </c:dPt>
          <c:cat>
            <c:strRef>
              <c:f>'Avg WorkHoursPerWeek by Depart'!$A$4:$A$7</c:f>
              <c:strCache>
                <c:ptCount val="3"/>
                <c:pt idx="0">
                  <c:v>Sales</c:v>
                </c:pt>
                <c:pt idx="1">
                  <c:v>IT</c:v>
                </c:pt>
                <c:pt idx="2">
                  <c:v>HR</c:v>
                </c:pt>
              </c:strCache>
            </c:strRef>
          </c:cat>
          <c:val>
            <c:numRef>
              <c:f>'Avg WorkHoursPerWeek by Depart'!$B$4:$B$7</c:f>
              <c:numCache>
                <c:formatCode>0.00</c:formatCode>
                <c:ptCount val="3"/>
                <c:pt idx="0">
                  <c:v>46.333333333333336</c:v>
                </c:pt>
                <c:pt idx="1">
                  <c:v>43.5</c:v>
                </c:pt>
                <c:pt idx="2">
                  <c:v>41.333333333333336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8-4380-B1FE-8A7BF7952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277984"/>
        <c:axId val="558278464"/>
      </c:barChart>
      <c:catAx>
        <c:axId val="55827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278464"/>
        <c:crosses val="autoZero"/>
        <c:auto val="1"/>
        <c:lblAlgn val="ctr"/>
        <c:lblOffset val="100"/>
        <c:noMultiLvlLbl val="0"/>
      </c:catAx>
      <c:valAx>
        <c:axId val="5582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27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6.xlsx]Attrition by ExperienceLevel!PivotTable3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by ExperienceLevel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'Attrition by ExperienceLevel'!$B$3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98-4684-97BF-0E6A5FA8F7C1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98-4684-97BF-0E6A5FA8F7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198-4684-97BF-0E6A5FA8F7C1}"/>
              </c:ext>
            </c:extLst>
          </c:dPt>
          <c:cat>
            <c:strRef>
              <c:f>'Attrition by ExperienceLevel'!$A$4:$A$6</c:f>
              <c:strCache>
                <c:ptCount val="2"/>
                <c:pt idx="0">
                  <c:v>Low</c:v>
                </c:pt>
                <c:pt idx="1">
                  <c:v>Medium</c:v>
                </c:pt>
              </c:strCache>
            </c:strRef>
          </c:cat>
          <c:val>
            <c:numRef>
              <c:f>'Attrition by ExperienceLevel'!$B$4:$B$6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8-4684-97BF-0E6A5FA8F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179070</xdr:rowOff>
    </xdr:from>
    <xdr:to>
      <xdr:col>12</xdr:col>
      <xdr:colOff>22860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864C86-3513-F9DD-2C04-1CBFD487C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156210</xdr:rowOff>
    </xdr:from>
    <xdr:to>
      <xdr:col>11</xdr:col>
      <xdr:colOff>594360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52ED9-4B18-4C59-CF56-BB495AC78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</xdr:row>
      <xdr:rowOff>163830</xdr:rowOff>
    </xdr:from>
    <xdr:to>
      <xdr:col>11</xdr:col>
      <xdr:colOff>7620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933847-9F4E-E0A0-E9D9-90548EAEB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148590</xdr:rowOff>
    </xdr:from>
    <xdr:to>
      <xdr:col>11</xdr:col>
      <xdr:colOff>594360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C79153-50B1-8614-4510-247ED42CD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171450</xdr:rowOff>
    </xdr:from>
    <xdr:to>
      <xdr:col>10</xdr:col>
      <xdr:colOff>297180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A7A321-98DE-A65D-9D8A-DD3E18494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7.93759050926" createdVersion="8" refreshedVersion="8" minRefreshableVersion="3" recordCount="10" xr:uid="{0A5F0ABD-5A73-4ED9-B3D7-D4A9C6FDA3D5}">
  <cacheSource type="worksheet">
    <worksheetSource ref="A1:J11" sheet="Dataset"/>
  </cacheSource>
  <cacheFields count="10">
    <cacheField name="EmpID" numFmtId="0">
      <sharedItems containsSemiMixedTypes="0" containsString="0" containsNumber="1" containsInteger="1" minValue="1" maxValue="10"/>
    </cacheField>
    <cacheField name="Age" numFmtId="0">
      <sharedItems containsSemiMixedTypes="0" containsString="0" containsNumber="1" containsInteger="1" minValue="25" maxValue="45" count="10">
        <n v="25"/>
        <n v="30"/>
        <n v="28"/>
        <n v="35"/>
        <n v="40"/>
        <n v="26"/>
        <n v="32"/>
        <n v="29"/>
        <n v="45"/>
        <n v="27"/>
      </sharedItems>
    </cacheField>
    <cacheField name="Department" numFmtId="49">
      <sharedItems count="3">
        <s v="Sales"/>
        <s v="IT"/>
        <s v="HR"/>
      </sharedItems>
    </cacheField>
    <cacheField name="JobRole" numFmtId="49">
      <sharedItems count="3">
        <s v="Executive"/>
        <s v="Developer"/>
        <s v="Manager"/>
      </sharedItems>
    </cacheField>
    <cacheField name="Salary" numFmtId="164">
      <sharedItems containsSemiMixedTypes="0" containsString="0" containsNumber="1" containsInteger="1" minValue="30000" maxValue="80000"/>
    </cacheField>
    <cacheField name="YearsAtCompany" numFmtId="0">
      <sharedItems containsSemiMixedTypes="0" containsString="0" containsNumber="1" containsInteger="1" minValue="1" maxValue="12"/>
    </cacheField>
    <cacheField name="WorkHoursPerWeek" numFmtId="0">
      <sharedItems containsSemiMixedTypes="0" containsString="0" containsNumber="1" containsInteger="1" minValue="38" maxValue="50"/>
    </cacheField>
    <cacheField name="Attrition" numFmtId="49">
      <sharedItems count="2">
        <s v="Yes"/>
        <s v="No"/>
      </sharedItems>
    </cacheField>
    <cacheField name="AttritionFlag" numFmtId="0">
      <sharedItems containsSemiMixedTypes="0" containsString="0" containsNumber="1" containsInteger="1" minValue="0" maxValue="1"/>
    </cacheField>
    <cacheField name="ExperienceLevel" numFmtId="49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x v="0"/>
    <x v="0"/>
    <n v="30000"/>
    <n v="1"/>
    <n v="45"/>
    <x v="0"/>
    <n v="1"/>
    <x v="0"/>
  </r>
  <r>
    <n v="2"/>
    <x v="1"/>
    <x v="1"/>
    <x v="1"/>
    <n v="60000"/>
    <n v="4"/>
    <n v="40"/>
    <x v="1"/>
    <n v="0"/>
    <x v="1"/>
  </r>
  <r>
    <n v="3"/>
    <x v="2"/>
    <x v="2"/>
    <x v="2"/>
    <n v="50000"/>
    <n v="3"/>
    <n v="42"/>
    <x v="1"/>
    <n v="0"/>
    <x v="1"/>
  </r>
  <r>
    <n v="4"/>
    <x v="3"/>
    <x v="1"/>
    <x v="1"/>
    <n v="65000"/>
    <n v="6"/>
    <n v="50"/>
    <x v="0"/>
    <n v="1"/>
    <x v="1"/>
  </r>
  <r>
    <n v="5"/>
    <x v="4"/>
    <x v="0"/>
    <x v="2"/>
    <n v="70000"/>
    <n v="10"/>
    <n v="48"/>
    <x v="1"/>
    <n v="0"/>
    <x v="2"/>
  </r>
  <r>
    <n v="6"/>
    <x v="5"/>
    <x v="2"/>
    <x v="0"/>
    <n v="32000"/>
    <n v="2"/>
    <n v="44"/>
    <x v="0"/>
    <n v="1"/>
    <x v="0"/>
  </r>
  <r>
    <n v="7"/>
    <x v="6"/>
    <x v="1"/>
    <x v="1"/>
    <n v="62000"/>
    <n v="5"/>
    <n v="41"/>
    <x v="1"/>
    <n v="0"/>
    <x v="1"/>
  </r>
  <r>
    <n v="8"/>
    <x v="7"/>
    <x v="0"/>
    <x v="0"/>
    <n v="35000"/>
    <n v="2"/>
    <n v="46"/>
    <x v="0"/>
    <n v="1"/>
    <x v="0"/>
  </r>
  <r>
    <n v="9"/>
    <x v="8"/>
    <x v="2"/>
    <x v="2"/>
    <n v="80000"/>
    <n v="12"/>
    <n v="38"/>
    <x v="1"/>
    <n v="0"/>
    <x v="2"/>
  </r>
  <r>
    <n v="10"/>
    <x v="9"/>
    <x v="1"/>
    <x v="1"/>
    <n v="58000"/>
    <n v="3"/>
    <n v="43"/>
    <x v="0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F4055-C714-41F7-B693-981CB2F04A6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JobRole">
  <location ref="A3:B7" firstHeaderRow="1" firstDataRow="1" firstDataCol="1"/>
  <pivotFields count="10"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Salary" fld="4" baseField="0" baseItem="0" numFmtId="164"/>
  </dataFields>
  <formats count="6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3" type="button" dataOnly="0" labelOnly="1" outline="0" axis="axisRow" fieldPosition="0"/>
    </format>
    <format dxfId="70">
      <pivotArea dataOnly="0" labelOnly="1" fieldPosition="0">
        <references count="1">
          <reference field="3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60813-919B-413B-A79C-F01CBFCB5D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">
  <location ref="A3:B7" firstHeaderRow="1" firstDataRow="1" firstDataCol="1" rowPageCount="1" colPageCount="1"/>
  <pivotFields count="10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64" showAll="0"/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item="1" hier="-1"/>
  </pageFields>
  <dataFields count="1">
    <dataField name="Count of Attrition" fld="7" subtotal="count" baseField="0" baseItem="0"/>
  </dataFields>
  <formats count="6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2" type="button" dataOnly="0" labelOnly="1" outline="0" axis="axisRow" fieldPosition="0"/>
    </format>
    <format dxfId="64">
      <pivotArea dataOnly="0" labelOnly="1" fieldPosition="0">
        <references count="1">
          <reference field="2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C2DF5-9D05-47AF-B736-86DB9196E3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">
  <location ref="A3:B7" firstHeaderRow="1" firstDataRow="1" firstDataCol="1"/>
  <pivotFields count="10"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  <pivotField showAll="0"/>
    <pivotField showAll="0"/>
    <pivotField showAll="0"/>
    <pivotField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g of Salary" fld="4" subtotal="average" baseField="2" baseItem="0" numFmtId="164"/>
  </dataFields>
  <formats count="6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2" type="button" dataOnly="0" labelOnly="1" outline="0" axis="axisRow" fieldPosition="0"/>
    </format>
    <format dxfId="58">
      <pivotArea dataOnly="0" labelOnly="1" fieldPosition="0">
        <references count="1">
          <reference field="2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145D9-65EE-40F8-94C2-0978C770212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partment">
  <location ref="A3:B7" firstHeaderRow="1" firstDataRow="1" firstDataCol="1"/>
  <pivotFields count="10"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g of WorkHoursPerWeek" fld="6" subtotal="average" baseField="2" baseItem="0" numFmtId="2"/>
  </dataFields>
  <formats count="8">
    <format dxfId="55">
      <pivotArea outline="0" collapsedLevelsAreSubtotals="1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2" type="button" dataOnly="0" labelOnly="1" outline="0" axis="axisRow" fieldPosition="0"/>
    </format>
    <format dxfId="50">
      <pivotArea dataOnly="0" labelOnly="1" fieldPosition="0">
        <references count="1">
          <reference field="2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6B5FC-02CB-48BF-9CEE-F72A7FFAF11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ExperienceLevel">
  <location ref="A3:B6" firstHeaderRow="1" firstDataRow="1" firstDataCol="1" rowPageCount="1" colPageCount="1"/>
  <pivotFields count="10">
    <pivotField showAll="0"/>
    <pivotField showAll="0"/>
    <pivotField showAll="0"/>
    <pivotField showAll="0"/>
    <pivotField numFmtId="164" showAll="0"/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3">
    <i>
      <x v="1"/>
    </i>
    <i>
      <x v="2"/>
    </i>
    <i t="grand">
      <x/>
    </i>
  </rowItems>
  <colItems count="1">
    <i/>
  </colItems>
  <pageFields count="1">
    <pageField fld="7" item="1" hier="-1"/>
  </pageFields>
  <dataFields count="1">
    <dataField name="Count of Attrition" fld="7" subtotal="count" baseField="0" baseItem="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9" type="button" dataOnly="0" labelOnly="1" outline="0" axis="axisRow" fieldPosition="0"/>
    </format>
    <format dxfId="44">
      <pivotArea dataOnly="0" labelOnly="1" fieldPosition="0">
        <references count="1">
          <reference field="9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FD65-6A2C-4142-9E54-4D6356F4CAB7}">
  <dimension ref="A3:B10"/>
  <sheetViews>
    <sheetView workbookViewId="0">
      <selection activeCell="O16" sqref="O16"/>
    </sheetView>
  </sheetViews>
  <sheetFormatPr defaultRowHeight="14.4" x14ac:dyDescent="0.3"/>
  <cols>
    <col min="1" max="1" width="28.21875" style="3" bestFit="1" customWidth="1"/>
    <col min="2" max="2" width="12.5546875" style="3" bestFit="1" customWidth="1"/>
    <col min="3" max="16384" width="8.88671875" style="3"/>
  </cols>
  <sheetData>
    <row r="3" spans="1:2" x14ac:dyDescent="0.3">
      <c r="A3" s="11" t="s">
        <v>3</v>
      </c>
      <c r="B3" s="3" t="s">
        <v>21</v>
      </c>
    </row>
    <row r="4" spans="1:2" x14ac:dyDescent="0.3">
      <c r="A4" s="3" t="s">
        <v>12</v>
      </c>
      <c r="B4" s="10">
        <v>245000</v>
      </c>
    </row>
    <row r="5" spans="1:2" x14ac:dyDescent="0.3">
      <c r="A5" s="3" t="s">
        <v>15</v>
      </c>
      <c r="B5" s="10">
        <v>200000</v>
      </c>
    </row>
    <row r="6" spans="1:2" x14ac:dyDescent="0.3">
      <c r="A6" s="3" t="s">
        <v>9</v>
      </c>
      <c r="B6" s="10">
        <v>97000</v>
      </c>
    </row>
    <row r="7" spans="1:2" x14ac:dyDescent="0.3">
      <c r="A7" s="3" t="s">
        <v>18</v>
      </c>
      <c r="B7" s="10">
        <v>542000</v>
      </c>
    </row>
    <row r="10" spans="1:2" x14ac:dyDescent="0.3">
      <c r="A10" s="12" t="s">
        <v>27</v>
      </c>
      <c r="B10" s="12" t="str">
        <f>_xlfn.XLOOKUP(MAX(B4:B6),B4:B6,A4:A6,,0)</f>
        <v>Developer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AA1D-7778-4E9A-924F-CBFA61068404}">
  <dimension ref="A1:B10"/>
  <sheetViews>
    <sheetView workbookViewId="0">
      <selection activeCell="B15" sqref="B15"/>
    </sheetView>
  </sheetViews>
  <sheetFormatPr defaultRowHeight="14.4" x14ac:dyDescent="0.3"/>
  <cols>
    <col min="1" max="1" width="29.77734375" style="3" bestFit="1" customWidth="1"/>
    <col min="2" max="2" width="15.88671875" style="3" bestFit="1" customWidth="1"/>
    <col min="3" max="16384" width="8.88671875" style="3"/>
  </cols>
  <sheetData>
    <row r="1" spans="1:2" x14ac:dyDescent="0.3">
      <c r="A1" s="11" t="s">
        <v>7</v>
      </c>
      <c r="B1" s="3" t="s">
        <v>10</v>
      </c>
    </row>
    <row r="3" spans="1:2" x14ac:dyDescent="0.3">
      <c r="A3" s="11" t="s">
        <v>2</v>
      </c>
      <c r="B3" s="3" t="s">
        <v>19</v>
      </c>
    </row>
    <row r="4" spans="1:2" x14ac:dyDescent="0.3">
      <c r="A4" s="3" t="s">
        <v>14</v>
      </c>
      <c r="B4" s="14">
        <v>1</v>
      </c>
    </row>
    <row r="5" spans="1:2" x14ac:dyDescent="0.3">
      <c r="A5" s="3" t="s">
        <v>11</v>
      </c>
      <c r="B5" s="14">
        <v>2</v>
      </c>
    </row>
    <row r="6" spans="1:2" x14ac:dyDescent="0.3">
      <c r="A6" s="3" t="s">
        <v>8</v>
      </c>
      <c r="B6" s="14">
        <v>2</v>
      </c>
    </row>
    <row r="7" spans="1:2" x14ac:dyDescent="0.3">
      <c r="A7" s="3" t="s">
        <v>18</v>
      </c>
      <c r="B7" s="14">
        <v>5</v>
      </c>
    </row>
    <row r="10" spans="1:2" x14ac:dyDescent="0.3">
      <c r="A10" s="12" t="s">
        <v>20</v>
      </c>
      <c r="B10" s="12" t="str" cm="1">
        <f t="array" ref="B10">_xlfn.TEXTJOIN(",",TRUE,_xlfn._xlws.FILTER(A4:A6,B4:B6=MAX(B4:B6)))</f>
        <v>IT,Sales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94C9-E748-4560-BA6E-06999D6F8605}">
  <dimension ref="A3:B10"/>
  <sheetViews>
    <sheetView workbookViewId="0">
      <selection activeCell="L22" sqref="L22"/>
    </sheetView>
  </sheetViews>
  <sheetFormatPr defaultRowHeight="14.4" x14ac:dyDescent="0.3"/>
  <cols>
    <col min="1" max="1" width="30.109375" style="3" bestFit="1" customWidth="1"/>
    <col min="2" max="2" width="12" style="3" bestFit="1" customWidth="1"/>
    <col min="3" max="16384" width="8.88671875" style="3"/>
  </cols>
  <sheetData>
    <row r="3" spans="1:2" x14ac:dyDescent="0.3">
      <c r="A3" s="11" t="s">
        <v>2</v>
      </c>
      <c r="B3" s="3" t="s">
        <v>22</v>
      </c>
    </row>
    <row r="4" spans="1:2" x14ac:dyDescent="0.3">
      <c r="A4" s="3" t="s">
        <v>11</v>
      </c>
      <c r="B4" s="10">
        <v>61250</v>
      </c>
    </row>
    <row r="5" spans="1:2" x14ac:dyDescent="0.3">
      <c r="A5" s="3" t="s">
        <v>14</v>
      </c>
      <c r="B5" s="10">
        <v>54000</v>
      </c>
    </row>
    <row r="6" spans="1:2" x14ac:dyDescent="0.3">
      <c r="A6" s="3" t="s">
        <v>8</v>
      </c>
      <c r="B6" s="10">
        <v>45000</v>
      </c>
    </row>
    <row r="7" spans="1:2" x14ac:dyDescent="0.3">
      <c r="A7" s="3" t="s">
        <v>18</v>
      </c>
      <c r="B7" s="10">
        <v>54200</v>
      </c>
    </row>
    <row r="10" spans="1:2" x14ac:dyDescent="0.3">
      <c r="A10" s="12" t="s">
        <v>23</v>
      </c>
      <c r="B10" s="12" t="str">
        <f>_xlfn.XLOOKUP(MIN(B4:B6),B4:B6,A4:A6,,0)</f>
        <v>Sales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0D51-8A72-45FB-92CD-F8337E7E899A}">
  <dimension ref="A3:B11"/>
  <sheetViews>
    <sheetView workbookViewId="0">
      <selection activeCell="I24" sqref="I24"/>
    </sheetView>
  </sheetViews>
  <sheetFormatPr defaultRowHeight="14.4" x14ac:dyDescent="0.3"/>
  <cols>
    <col min="1" max="1" width="47.21875" style="3" bestFit="1" customWidth="1"/>
    <col min="2" max="2" width="24.21875" style="4" bestFit="1" customWidth="1"/>
    <col min="3" max="16384" width="8.88671875" style="3"/>
  </cols>
  <sheetData>
    <row r="3" spans="1:2" x14ac:dyDescent="0.3">
      <c r="A3" s="11" t="s">
        <v>2</v>
      </c>
      <c r="B3" s="4" t="s">
        <v>28</v>
      </c>
    </row>
    <row r="4" spans="1:2" x14ac:dyDescent="0.3">
      <c r="A4" s="3" t="s">
        <v>8</v>
      </c>
      <c r="B4" s="4">
        <v>46.333333333333336</v>
      </c>
    </row>
    <row r="5" spans="1:2" x14ac:dyDescent="0.3">
      <c r="A5" s="3" t="s">
        <v>11</v>
      </c>
      <c r="B5" s="4">
        <v>43.5</v>
      </c>
    </row>
    <row r="6" spans="1:2" x14ac:dyDescent="0.3">
      <c r="A6" s="3" t="s">
        <v>14</v>
      </c>
      <c r="B6" s="4">
        <v>41.333333333333336</v>
      </c>
    </row>
    <row r="7" spans="1:2" x14ac:dyDescent="0.3">
      <c r="A7" s="3" t="s">
        <v>18</v>
      </c>
      <c r="B7" s="4">
        <v>43.7</v>
      </c>
    </row>
    <row r="11" spans="1:2" x14ac:dyDescent="0.3">
      <c r="A11" s="12" t="s">
        <v>29</v>
      </c>
      <c r="B11" s="13" t="str">
        <f>_xlfn.XLOOKUP(MIN(B4:B6),B4:B6,A4:A6,,0)</f>
        <v>HR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4C8E-027D-4BBD-9B7C-10B1931FEC5B}">
  <dimension ref="A1:B10"/>
  <sheetViews>
    <sheetView tabSelected="1" workbookViewId="0">
      <selection activeCell="L23" sqref="L23"/>
    </sheetView>
  </sheetViews>
  <sheetFormatPr defaultRowHeight="14.4" x14ac:dyDescent="0.3"/>
  <cols>
    <col min="1" max="1" width="37.5546875" style="3" bestFit="1" customWidth="1"/>
    <col min="2" max="2" width="15.88671875" style="3" bestFit="1" customWidth="1"/>
    <col min="3" max="16384" width="8.88671875" style="3"/>
  </cols>
  <sheetData>
    <row r="1" spans="1:2" x14ac:dyDescent="0.3">
      <c r="A1" s="11" t="s">
        <v>7</v>
      </c>
      <c r="B1" s="3" t="s">
        <v>10</v>
      </c>
    </row>
    <row r="3" spans="1:2" x14ac:dyDescent="0.3">
      <c r="A3" s="11" t="s">
        <v>17</v>
      </c>
      <c r="B3" s="3" t="s">
        <v>19</v>
      </c>
    </row>
    <row r="4" spans="1:2" x14ac:dyDescent="0.3">
      <c r="A4" s="3" t="s">
        <v>24</v>
      </c>
      <c r="B4" s="14">
        <v>3</v>
      </c>
    </row>
    <row r="5" spans="1:2" x14ac:dyDescent="0.3">
      <c r="A5" s="3" t="s">
        <v>25</v>
      </c>
      <c r="B5" s="14">
        <v>2</v>
      </c>
    </row>
    <row r="6" spans="1:2" x14ac:dyDescent="0.3">
      <c r="A6" s="3" t="s">
        <v>18</v>
      </c>
      <c r="B6" s="14">
        <v>5</v>
      </c>
    </row>
    <row r="7" spans="1:2" x14ac:dyDescent="0.3">
      <c r="A7"/>
      <c r="B7"/>
    </row>
    <row r="10" spans="1:2" x14ac:dyDescent="0.3">
      <c r="A10" s="12" t="s">
        <v>26</v>
      </c>
      <c r="B10" s="12" t="str">
        <f>_xlfn.XLOOKUP(MIN(B4:B6),B4:B6,A4:A6,,0)</f>
        <v>Medium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6296-CB13-4B86-8EA5-FA57DE20670C}">
  <dimension ref="A1:J11"/>
  <sheetViews>
    <sheetView workbookViewId="0">
      <selection activeCell="G22" sqref="G22"/>
    </sheetView>
  </sheetViews>
  <sheetFormatPr defaultRowHeight="14.4" x14ac:dyDescent="0.3"/>
  <cols>
    <col min="1" max="1" width="6.5546875" style="3" bestFit="1" customWidth="1"/>
    <col min="2" max="2" width="8.109375" style="3" bestFit="1" customWidth="1"/>
    <col min="3" max="3" width="11.109375" style="7" bestFit="1" customWidth="1"/>
    <col min="4" max="4" width="9.33203125" style="7" bestFit="1" customWidth="1"/>
    <col min="5" max="5" width="10.44140625" style="10" bestFit="1" customWidth="1"/>
    <col min="6" max="6" width="15.5546875" style="3" bestFit="1" customWidth="1"/>
    <col min="7" max="7" width="18.21875" style="3" bestFit="1" customWidth="1"/>
    <col min="8" max="8" width="8" style="7" bestFit="1" customWidth="1"/>
    <col min="9" max="9" width="11.33203125" style="3" bestFit="1" customWidth="1"/>
    <col min="10" max="10" width="14.5546875" style="7" bestFit="1" customWidth="1"/>
    <col min="11" max="16384" width="8.88671875" style="3"/>
  </cols>
  <sheetData>
    <row r="1" spans="1:10" x14ac:dyDescent="0.3">
      <c r="A1" s="1" t="s">
        <v>0</v>
      </c>
      <c r="B1" s="1" t="s">
        <v>1</v>
      </c>
      <c r="C1" s="5" t="s">
        <v>2</v>
      </c>
      <c r="D1" s="5" t="s">
        <v>3</v>
      </c>
      <c r="E1" s="8" t="s">
        <v>4</v>
      </c>
      <c r="F1" s="1" t="s">
        <v>5</v>
      </c>
      <c r="G1" s="1" t="s">
        <v>6</v>
      </c>
      <c r="H1" s="5" t="s">
        <v>7</v>
      </c>
      <c r="I1" s="1" t="s">
        <v>16</v>
      </c>
      <c r="J1" s="5" t="s">
        <v>17</v>
      </c>
    </row>
    <row r="2" spans="1:10" x14ac:dyDescent="0.3">
      <c r="A2" s="2">
        <v>1</v>
      </c>
      <c r="B2" s="2">
        <v>25</v>
      </c>
      <c r="C2" s="6" t="s">
        <v>8</v>
      </c>
      <c r="D2" s="6" t="s">
        <v>9</v>
      </c>
      <c r="E2" s="9">
        <v>30000</v>
      </c>
      <c r="F2" s="2">
        <v>1</v>
      </c>
      <c r="G2" s="2">
        <v>45</v>
      </c>
      <c r="H2" s="6" t="s">
        <v>10</v>
      </c>
      <c r="I2" s="3">
        <f>IF( H2= "Yes",1,0)</f>
        <v>1</v>
      </c>
      <c r="J2" s="7" t="str">
        <f>IF(F2&lt;3,"Low",IF(F2&lt;=6,"Medium","High"))</f>
        <v>Low</v>
      </c>
    </row>
    <row r="3" spans="1:10" x14ac:dyDescent="0.3">
      <c r="A3" s="2">
        <v>2</v>
      </c>
      <c r="B3" s="2">
        <v>30</v>
      </c>
      <c r="C3" s="6" t="s">
        <v>11</v>
      </c>
      <c r="D3" s="6" t="s">
        <v>12</v>
      </c>
      <c r="E3" s="9">
        <v>60000</v>
      </c>
      <c r="F3" s="2">
        <v>4</v>
      </c>
      <c r="G3" s="2">
        <v>40</v>
      </c>
      <c r="H3" s="6" t="s">
        <v>13</v>
      </c>
      <c r="I3" s="3">
        <f t="shared" ref="I3:I11" si="0">IF( H3= "Yes",1,0)</f>
        <v>0</v>
      </c>
      <c r="J3" s="7" t="str">
        <f t="shared" ref="J3:J11" si="1">IF(F3&lt;3,"Low",IF(F3&lt;=6,"Medium","High"))</f>
        <v>Medium</v>
      </c>
    </row>
    <row r="4" spans="1:10" x14ac:dyDescent="0.3">
      <c r="A4" s="2">
        <v>3</v>
      </c>
      <c r="B4" s="2">
        <v>28</v>
      </c>
      <c r="C4" s="6" t="s">
        <v>14</v>
      </c>
      <c r="D4" s="6" t="s">
        <v>15</v>
      </c>
      <c r="E4" s="9">
        <v>50000</v>
      </c>
      <c r="F4" s="2">
        <v>3</v>
      </c>
      <c r="G4" s="2">
        <v>42</v>
      </c>
      <c r="H4" s="6" t="s">
        <v>13</v>
      </c>
      <c r="I4" s="3">
        <f t="shared" si="0"/>
        <v>0</v>
      </c>
      <c r="J4" s="7" t="str">
        <f t="shared" si="1"/>
        <v>Medium</v>
      </c>
    </row>
    <row r="5" spans="1:10" x14ac:dyDescent="0.3">
      <c r="A5" s="2">
        <v>4</v>
      </c>
      <c r="B5" s="2">
        <v>35</v>
      </c>
      <c r="C5" s="6" t="s">
        <v>11</v>
      </c>
      <c r="D5" s="6" t="s">
        <v>12</v>
      </c>
      <c r="E5" s="9">
        <v>65000</v>
      </c>
      <c r="F5" s="2">
        <v>6</v>
      </c>
      <c r="G5" s="2">
        <v>50</v>
      </c>
      <c r="H5" s="6" t="s">
        <v>10</v>
      </c>
      <c r="I5" s="3">
        <f t="shared" si="0"/>
        <v>1</v>
      </c>
      <c r="J5" s="7" t="str">
        <f t="shared" si="1"/>
        <v>Medium</v>
      </c>
    </row>
    <row r="6" spans="1:10" x14ac:dyDescent="0.3">
      <c r="A6" s="2">
        <v>5</v>
      </c>
      <c r="B6" s="2">
        <v>40</v>
      </c>
      <c r="C6" s="6" t="s">
        <v>8</v>
      </c>
      <c r="D6" s="6" t="s">
        <v>15</v>
      </c>
      <c r="E6" s="9">
        <v>70000</v>
      </c>
      <c r="F6" s="2">
        <v>10</v>
      </c>
      <c r="G6" s="2">
        <v>48</v>
      </c>
      <c r="H6" s="6" t="s">
        <v>13</v>
      </c>
      <c r="I6" s="3">
        <f t="shared" si="0"/>
        <v>0</v>
      </c>
      <c r="J6" s="7" t="str">
        <f t="shared" si="1"/>
        <v>High</v>
      </c>
    </row>
    <row r="7" spans="1:10" x14ac:dyDescent="0.3">
      <c r="A7" s="2">
        <v>6</v>
      </c>
      <c r="B7" s="2">
        <v>26</v>
      </c>
      <c r="C7" s="6" t="s">
        <v>14</v>
      </c>
      <c r="D7" s="6" t="s">
        <v>9</v>
      </c>
      <c r="E7" s="9">
        <v>32000</v>
      </c>
      <c r="F7" s="2">
        <v>2</v>
      </c>
      <c r="G7" s="2">
        <v>44</v>
      </c>
      <c r="H7" s="6" t="s">
        <v>10</v>
      </c>
      <c r="I7" s="3">
        <f t="shared" si="0"/>
        <v>1</v>
      </c>
      <c r="J7" s="7" t="str">
        <f t="shared" si="1"/>
        <v>Low</v>
      </c>
    </row>
    <row r="8" spans="1:10" x14ac:dyDescent="0.3">
      <c r="A8" s="2">
        <v>7</v>
      </c>
      <c r="B8" s="2">
        <v>32</v>
      </c>
      <c r="C8" s="6" t="s">
        <v>11</v>
      </c>
      <c r="D8" s="6" t="s">
        <v>12</v>
      </c>
      <c r="E8" s="9">
        <v>62000</v>
      </c>
      <c r="F8" s="2">
        <v>5</v>
      </c>
      <c r="G8" s="2">
        <v>41</v>
      </c>
      <c r="H8" s="6" t="s">
        <v>13</v>
      </c>
      <c r="I8" s="3">
        <f t="shared" si="0"/>
        <v>0</v>
      </c>
      <c r="J8" s="7" t="str">
        <f t="shared" si="1"/>
        <v>Medium</v>
      </c>
    </row>
    <row r="9" spans="1:10" x14ac:dyDescent="0.3">
      <c r="A9" s="2">
        <v>8</v>
      </c>
      <c r="B9" s="2">
        <v>29</v>
      </c>
      <c r="C9" s="6" t="s">
        <v>8</v>
      </c>
      <c r="D9" s="6" t="s">
        <v>9</v>
      </c>
      <c r="E9" s="9">
        <v>35000</v>
      </c>
      <c r="F9" s="2">
        <v>2</v>
      </c>
      <c r="G9" s="2">
        <v>46</v>
      </c>
      <c r="H9" s="6" t="s">
        <v>10</v>
      </c>
      <c r="I9" s="3">
        <f t="shared" si="0"/>
        <v>1</v>
      </c>
      <c r="J9" s="7" t="str">
        <f t="shared" si="1"/>
        <v>Low</v>
      </c>
    </row>
    <row r="10" spans="1:10" x14ac:dyDescent="0.3">
      <c r="A10" s="2">
        <v>9</v>
      </c>
      <c r="B10" s="2">
        <v>45</v>
      </c>
      <c r="C10" s="6" t="s">
        <v>14</v>
      </c>
      <c r="D10" s="6" t="s">
        <v>15</v>
      </c>
      <c r="E10" s="9">
        <v>80000</v>
      </c>
      <c r="F10" s="2">
        <v>12</v>
      </c>
      <c r="G10" s="2">
        <v>38</v>
      </c>
      <c r="H10" s="6" t="s">
        <v>13</v>
      </c>
      <c r="I10" s="3">
        <f t="shared" si="0"/>
        <v>0</v>
      </c>
      <c r="J10" s="7" t="str">
        <f t="shared" si="1"/>
        <v>High</v>
      </c>
    </row>
    <row r="11" spans="1:10" x14ac:dyDescent="0.3">
      <c r="A11" s="2">
        <v>10</v>
      </c>
      <c r="B11" s="2">
        <v>27</v>
      </c>
      <c r="C11" s="6" t="s">
        <v>11</v>
      </c>
      <c r="D11" s="6" t="s">
        <v>12</v>
      </c>
      <c r="E11" s="9">
        <v>58000</v>
      </c>
      <c r="F11" s="2">
        <v>3</v>
      </c>
      <c r="G11" s="2">
        <v>43</v>
      </c>
      <c r="H11" s="6" t="s">
        <v>10</v>
      </c>
      <c r="I11" s="3">
        <f t="shared" si="0"/>
        <v>1</v>
      </c>
      <c r="J11" s="7" t="str">
        <f t="shared" si="1"/>
        <v>Medium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Salary by JobRole</vt:lpstr>
      <vt:lpstr>Attrition count by Department</vt:lpstr>
      <vt:lpstr>Avg Salary by Department</vt:lpstr>
      <vt:lpstr>Avg WorkHoursPerWeek by Depart</vt:lpstr>
      <vt:lpstr>Attrition by ExperienceLevel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2026-04-15T16:47:14Z</dcterms:created>
  <dcterms:modified xsi:type="dcterms:W3CDTF">2026-04-16T07:21:42Z</dcterms:modified>
</cp:coreProperties>
</file>