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6/"/>
    </mc:Choice>
  </mc:AlternateContent>
  <xr:revisionPtr revIDLastSave="5" documentId="8_{75C64EE7-EED0-4692-9D1A-C12C9B4F1850}" xr6:coauthVersionLast="47" xr6:coauthVersionMax="47" xr10:uidLastSave="{03C6AA49-A48B-408A-822D-CF5141B5CEEC}"/>
  <bookViews>
    <workbookView xWindow="-108" yWindow="-108" windowWidth="23256" windowHeight="12456" firstSheet="3" activeTab="4" xr2:uid="{E0A2769F-29C9-4945-83FF-D5840ED3A034}"/>
  </bookViews>
  <sheets>
    <sheet name="MonthlyFee by MembershipPlan" sheetId="5" r:id="rId1"/>
    <sheet name="Cancellation rate by Membership" sheetId="2" r:id="rId2"/>
    <sheet name="Avg Gym vists by Member Segment" sheetId="3" r:id="rId3"/>
    <sheet name="Avg Fitness Rating by Engagemen" sheetId="4" r:id="rId4"/>
    <sheet name="Avg Personal Training sessions " sheetId="6" r:id="rId5"/>
    <sheet name="Dataset" sheetId="1" r:id="rId6"/>
  </sheets>
  <calcPr calcId="191029"/>
  <pivotCaches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6" l="1"/>
  <c r="B10" i="6"/>
  <c r="B15" i="5"/>
  <c r="B11" i="5"/>
  <c r="B16" i="4"/>
  <c r="B11" i="4"/>
  <c r="B14" i="3"/>
  <c r="B10" i="3"/>
  <c r="B15" i="2"/>
  <c r="B11" i="2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<sst xmlns="http://schemas.openxmlformats.org/spreadsheetml/2006/main" count="80" uniqueCount="48">
  <si>
    <t>MemberID</t>
  </si>
  <si>
    <t>MembershipPlan</t>
  </si>
  <si>
    <t>MonthlyFee</t>
  </si>
  <si>
    <t>GymVisits_PerMonth</t>
  </si>
  <si>
    <t>PersonalTrainingSessions</t>
  </si>
  <si>
    <t>FitnessRating</t>
  </si>
  <si>
    <t>MembershipDuration_Months</t>
  </si>
  <si>
    <t>Cancelled</t>
  </si>
  <si>
    <t>G1001</t>
  </si>
  <si>
    <t>Basic</t>
  </si>
  <si>
    <t>Yes</t>
  </si>
  <si>
    <t>G1002</t>
  </si>
  <si>
    <t>Premium</t>
  </si>
  <si>
    <t>No</t>
  </si>
  <si>
    <t>G1003</t>
  </si>
  <si>
    <t>Standard</t>
  </si>
  <si>
    <t>G1004</t>
  </si>
  <si>
    <t>G1005</t>
  </si>
  <si>
    <t>G1006</t>
  </si>
  <si>
    <t>G1007</t>
  </si>
  <si>
    <t>G1008</t>
  </si>
  <si>
    <t>G1009</t>
  </si>
  <si>
    <t>G1010</t>
  </si>
  <si>
    <t>CancellationFlag</t>
  </si>
  <si>
    <t>Engagement Level</t>
  </si>
  <si>
    <t>Member Segment</t>
  </si>
  <si>
    <t>Grand Total</t>
  </si>
  <si>
    <t>Sum of CancellationFlag</t>
  </si>
  <si>
    <t>Which Plan has lowest cancellation rate</t>
  </si>
  <si>
    <t>What's the lowest cancellation rate</t>
  </si>
  <si>
    <t>Active</t>
  </si>
  <si>
    <t>Loyal</t>
  </si>
  <si>
    <t>New</t>
  </si>
  <si>
    <t>Avg of GymVisits_PerMonth</t>
  </si>
  <si>
    <t>Which member segment have medium visits</t>
  </si>
  <si>
    <t>What's the count of active member visits</t>
  </si>
  <si>
    <t>High</t>
  </si>
  <si>
    <t>Low</t>
  </si>
  <si>
    <t>Medium</t>
  </si>
  <si>
    <t>Avg of FitnessRating</t>
  </si>
  <si>
    <t>Which Engagement Level has highest Fitness Rating</t>
  </si>
  <si>
    <t>What's the highest fitness rating</t>
  </si>
  <si>
    <t>Sum of MonthlyFee</t>
  </si>
  <si>
    <t>Which MembershipPlan has generating lowest Revenue</t>
  </si>
  <si>
    <t>What's the lowest revenue generated</t>
  </si>
  <si>
    <t>Avg of PersonalTrainingSessions</t>
  </si>
  <si>
    <t>Which cancelled segment have less personal training sessions</t>
  </si>
  <si>
    <t>What's the count of Personal training sessions of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</si>
</sst>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₹-44A]* #,##0_-;\-[$₹-44A]* #,##0_-;_-[$₹-44A]* &quot;-&quot;_-;_-@_-"/>
    <numFmt numFmtId="165" formatCode="_ [$₹-4009]\ * #,##0_ ;_ [$₹-4009]\ * \-#,##0_ ;_ [$₹-4009]\ * &quot;-&quot;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16.xlsx]MonthlyFee by MembershipPlan!PivotTable1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MonthlyFee by MembershipPlan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'MonthlyFee by MembershipPlan'!$B$3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DE-471C-B057-F1AF750870C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BD-418F-B8E3-28502B797F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BD-418F-B8E3-28502B797F98}"/>
              </c:ext>
            </c:extLst>
          </c:dPt>
          <c:cat>
            <c:strRef>
              <c:f>'MonthlyFee by MembershipPlan'!$A$4:$A$7</c:f>
              <c:strCache>
                <c:ptCount val="3"/>
                <c:pt idx="0">
                  <c:v>Premium</c:v>
                </c:pt>
                <c:pt idx="1">
                  <c:v>Standard</c:v>
                </c:pt>
                <c:pt idx="2">
                  <c:v>Basic</c:v>
                </c:pt>
              </c:strCache>
            </c:strRef>
          </c:cat>
          <c:val>
            <c:numRef>
              <c:f>'MonthlyFee by MembershipPlan'!$B$4:$B$7</c:f>
              <c:numCache>
                <c:formatCode>_-[$₹-44A]* #,##0_-;\-[$₹-44A]* #,##0_-;_-[$₹-44A]* "-"_-;_-@_-</c:formatCode>
                <c:ptCount val="3"/>
                <c:pt idx="0">
                  <c:v>10497</c:v>
                </c:pt>
                <c:pt idx="1">
                  <c:v>5997</c:v>
                </c:pt>
                <c:pt idx="2">
                  <c:v>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D-418F-B8E3-28502B797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676799"/>
        <c:axId val="930674399"/>
      </c:barChart>
      <c:catAx>
        <c:axId val="93067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74399"/>
        <c:crosses val="autoZero"/>
        <c:auto val="1"/>
        <c:lblAlgn val="ctr"/>
        <c:lblOffset val="100"/>
        <c:noMultiLvlLbl val="0"/>
      </c:catAx>
      <c:valAx>
        <c:axId val="93067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₹-44A]* #,##0_-;\-[$₹-44A]* #,##0_-;_-[$₹-44A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67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16.xlsx]Cancellation rate by Membership!PivotTable1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Cancellation rate by Membership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'Cancellation rate by Membership'!$B$3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95-4E83-A93D-A3B80BF56211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09-4FD9-A3FD-24F29A650CA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609-4FD9-A3FD-24F29A650CA9}"/>
              </c:ext>
            </c:extLst>
          </c:dPt>
          <c:cat>
            <c:strRef>
              <c:f>'Cancellation rate by Membership'!$A$4:$A$7</c:f>
              <c:strCache>
                <c:ptCount val="3"/>
                <c:pt idx="0">
                  <c:v>Premium</c:v>
                </c:pt>
                <c:pt idx="1">
                  <c:v>Standard</c:v>
                </c:pt>
                <c:pt idx="2">
                  <c:v>Basic</c:v>
                </c:pt>
              </c:strCache>
            </c:strRef>
          </c:cat>
          <c:val>
            <c:numRef>
              <c:f>'Cancellation rate by Membership'!$B$4:$B$7</c:f>
              <c:numCache>
                <c:formatCode>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3-4EC9-BC36-E5F600577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3278608"/>
        <c:axId val="1443276208"/>
      </c:barChart>
      <c:catAx>
        <c:axId val="144327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76208"/>
        <c:crosses val="autoZero"/>
        <c:auto val="1"/>
        <c:lblAlgn val="ctr"/>
        <c:lblOffset val="100"/>
        <c:noMultiLvlLbl val="0"/>
      </c:catAx>
      <c:valAx>
        <c:axId val="144327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7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16.xlsx]Avg Gym vists by Member Segment!PivotTable2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Gym vists by Member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Gym vists by Member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816-48E9-825F-1FAD80A011FF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816-48E9-825F-1FAD80A011FF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816-48E9-825F-1FAD80A011FF}"/>
              </c:ext>
            </c:extLst>
          </c:dPt>
          <c:cat>
            <c:strRef>
              <c:f>'Avg Gym vists by Member Segment'!$A$4:$A$7</c:f>
              <c:strCache>
                <c:ptCount val="3"/>
                <c:pt idx="0">
                  <c:v>Loyal</c:v>
                </c:pt>
                <c:pt idx="1">
                  <c:v>Active</c:v>
                </c:pt>
                <c:pt idx="2">
                  <c:v>New</c:v>
                </c:pt>
              </c:strCache>
            </c:strRef>
          </c:cat>
          <c:val>
            <c:numRef>
              <c:f>'Avg Gym vists by Member Segment'!$B$4:$B$7</c:f>
              <c:numCache>
                <c:formatCode>0</c:formatCode>
                <c:ptCount val="3"/>
                <c:pt idx="0">
                  <c:v>21</c:v>
                </c:pt>
                <c:pt idx="1">
                  <c:v>11.75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739-AA85-A24B10A93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16.xlsx]Avg Fitness Rating by Engagemen!PivotTable3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Fitness Rating by EngagementLevel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'Avg Fitness Rating by Engagemen'!$B$3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E-409B-B272-B454EEC5A031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F77-4005-BF0F-E02CF17CBB97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77-4005-BF0F-E02CF17CBB97}"/>
              </c:ext>
            </c:extLst>
          </c:dPt>
          <c:cat>
            <c:strRef>
              <c:f>'Avg Fitness Rating by Engagemen'!$A$4:$A$7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'Avg Fitness Rating by Engagemen'!$B$4:$B$7</c:f>
              <c:numCache>
                <c:formatCode>0</c:formatCode>
                <c:ptCount val="3"/>
                <c:pt idx="0">
                  <c:v>5</c:v>
                </c:pt>
                <c:pt idx="1">
                  <c:v>3.6666666666666665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1-4D45-8A0B-29EB8744B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16.xlsx]Avg Personal Training sessions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Personal Training sessions by Cancelled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1"/>
        <c:ser>
          <c:idx val="0"/>
          <c:order val="0"/>
          <c:tx>
            <c:strRef>
              <c:f>'Avg Personal Training sessions 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407-4BCE-B35E-65F98021EC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407-4BCE-B35E-65F98021EC26}"/>
              </c:ext>
            </c:extLst>
          </c:dPt>
          <c:cat>
            <c:strRef>
              <c:f>'Avg Personal Training sessions 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'Avg Personal Training sessions '!$B$4:$B$6</c:f>
              <c:numCache>
                <c:formatCode>0</c:formatCode>
                <c:ptCount val="2"/>
                <c:pt idx="0">
                  <c:v>5.2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7-4BCE-B35E-65F98021E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45410864"/>
        <c:axId val="245411824"/>
        <c:axId val="256043056"/>
      </c:bar3DChart>
      <c:catAx>
        <c:axId val="2454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11824"/>
        <c:crosses val="autoZero"/>
        <c:auto val="1"/>
        <c:lblAlgn val="ctr"/>
        <c:lblOffset val="100"/>
        <c:noMultiLvlLbl val="0"/>
      </c:catAx>
      <c:valAx>
        <c:axId val="2454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410864"/>
        <c:crosses val="autoZero"/>
        <c:crossBetween val="between"/>
      </c:valAx>
      <c:serAx>
        <c:axId val="256043056"/>
        <c:scaling>
          <c:orientation val="minMax"/>
        </c:scaling>
        <c:delete val="1"/>
        <c:axPos val="b"/>
        <c:majorTickMark val="out"/>
        <c:minorTickMark val="none"/>
        <c:tickLblPos val="nextTo"/>
        <c:crossAx val="245411824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118110</xdr:rowOff>
    </xdr:from>
    <xdr:to>
      <xdr:col>11</xdr:col>
      <xdr:colOff>312420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589DC-7BE5-EC83-5643-6EC832E4A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163830</xdr:rowOff>
    </xdr:from>
    <xdr:to>
      <xdr:col>11</xdr:col>
      <xdr:colOff>601980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424E6-98BF-DD50-60AE-B4E52B13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2</xdr:row>
      <xdr:rowOff>3810</xdr:rowOff>
    </xdr:from>
    <xdr:to>
      <xdr:col>11</xdr:col>
      <xdr:colOff>22860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1CDE6-C8CF-D46B-9D04-ED7E7F03E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2</xdr:row>
      <xdr:rowOff>34290</xdr:rowOff>
    </xdr:from>
    <xdr:to>
      <xdr:col>11</xdr:col>
      <xdr:colOff>7620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906A8-7487-96D2-4562-3461A4AE1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C45B7-0B63-BCEB-F67D-BD39F3B60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86.920112615742" createdVersion="8" refreshedVersion="8" minRefreshableVersion="3" recordCount="10" xr:uid="{F89E8811-CF53-4998-BAAB-24F9AB9751E8}">
  <cacheSource type="worksheet">
    <worksheetSource ref="A1:K11" sheet="Dataset"/>
  </cacheSource>
  <cacheFields count="11">
    <cacheField name="MemberID" numFmtId="0">
      <sharedItems/>
    </cacheField>
    <cacheField name="MembershipPlan" numFmtId="49">
      <sharedItems count="3">
        <s v="Basic"/>
        <s v="Premium"/>
        <s v="Standard"/>
      </sharedItems>
    </cacheField>
    <cacheField name="MonthlyFee" numFmtId="164">
      <sharedItems containsSemiMixedTypes="0" containsString="0" containsNumber="1" containsInteger="1" minValue="999" maxValue="3499"/>
    </cacheField>
    <cacheField name="GymVisits_PerMonth" numFmtId="1">
      <sharedItems containsSemiMixedTypes="0" containsString="0" containsNumber="1" containsInteger="1" minValue="3" maxValue="22"/>
    </cacheField>
    <cacheField name="PersonalTrainingSessions" numFmtId="1">
      <sharedItems containsSemiMixedTypes="0" containsString="0" containsNumber="1" containsInteger="1" minValue="0" maxValue="8"/>
    </cacheField>
    <cacheField name="FitnessRating" numFmtId="1">
      <sharedItems containsSemiMixedTypes="0" containsString="0" containsNumber="1" containsInteger="1" minValue="1" maxValue="5"/>
    </cacheField>
    <cacheField name="MembershipDuration_Months" numFmtId="1">
      <sharedItems containsSemiMixedTypes="0" containsString="0" containsNumber="1" containsInteger="1" minValue="1" maxValue="24"/>
    </cacheField>
    <cacheField name="Cancelled" numFmtId="49">
      <sharedItems count="2">
        <s v="Yes"/>
        <s v="No"/>
      </sharedItems>
    </cacheField>
    <cacheField name="CancellationFlag" numFmtId="1">
      <sharedItems containsSemiMixedTypes="0" containsString="0" containsNumber="1" containsInteger="1" minValue="0" maxValue="1"/>
    </cacheField>
    <cacheField name="Engagement Level" numFmtId="49">
      <sharedItems count="3">
        <s v="Low"/>
        <s v="High"/>
        <s v="Medium"/>
      </sharedItems>
    </cacheField>
    <cacheField name="Member Segment" numFmtId="49">
      <sharedItems count="3">
        <s v="New"/>
        <s v="Active"/>
        <s v="Loy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G1001"/>
    <x v="0"/>
    <n v="999"/>
    <n v="5"/>
    <n v="0"/>
    <n v="2"/>
    <n v="3"/>
    <x v="0"/>
    <n v="1"/>
    <x v="0"/>
    <x v="0"/>
  </r>
  <r>
    <s v="G1002"/>
    <x v="1"/>
    <n v="3499"/>
    <n v="18"/>
    <n v="6"/>
    <n v="5"/>
    <n v="18"/>
    <x v="1"/>
    <n v="0"/>
    <x v="1"/>
    <x v="1"/>
  </r>
  <r>
    <s v="G1003"/>
    <x v="2"/>
    <n v="1999"/>
    <n v="10"/>
    <n v="2"/>
    <n v="4"/>
    <n v="9"/>
    <x v="1"/>
    <n v="0"/>
    <x v="2"/>
    <x v="1"/>
  </r>
  <r>
    <s v="G1004"/>
    <x v="0"/>
    <n v="999"/>
    <n v="4"/>
    <n v="0"/>
    <n v="1"/>
    <n v="2"/>
    <x v="0"/>
    <n v="1"/>
    <x v="0"/>
    <x v="0"/>
  </r>
  <r>
    <s v="G1005"/>
    <x v="1"/>
    <n v="3499"/>
    <n v="22"/>
    <n v="8"/>
    <n v="5"/>
    <n v="24"/>
    <x v="1"/>
    <n v="0"/>
    <x v="1"/>
    <x v="2"/>
  </r>
  <r>
    <s v="G1006"/>
    <x v="2"/>
    <n v="1999"/>
    <n v="8"/>
    <n v="1"/>
    <n v="3"/>
    <n v="7"/>
    <x v="0"/>
    <n v="1"/>
    <x v="2"/>
    <x v="1"/>
  </r>
  <r>
    <s v="G1007"/>
    <x v="0"/>
    <n v="999"/>
    <n v="6"/>
    <n v="0"/>
    <n v="2"/>
    <n v="4"/>
    <x v="0"/>
    <n v="1"/>
    <x v="0"/>
    <x v="0"/>
  </r>
  <r>
    <s v="G1008"/>
    <x v="1"/>
    <n v="3499"/>
    <n v="20"/>
    <n v="7"/>
    <n v="5"/>
    <n v="20"/>
    <x v="1"/>
    <n v="0"/>
    <x v="1"/>
    <x v="2"/>
  </r>
  <r>
    <s v="G1009"/>
    <x v="2"/>
    <n v="1999"/>
    <n v="11"/>
    <n v="3"/>
    <n v="4"/>
    <n v="10"/>
    <x v="1"/>
    <n v="0"/>
    <x v="2"/>
    <x v="1"/>
  </r>
  <r>
    <s v="G1010"/>
    <x v="0"/>
    <n v="999"/>
    <n v="3"/>
    <n v="0"/>
    <n v="1"/>
    <n v="1"/>
    <x v="0"/>
    <n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18896-7773-48E2-93EB-60F534BF33B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embershipPlan">
  <location ref="A3:B7" firstHeaderRow="1" firstDataRow="1" firstDataCol="1"/>
  <pivotFields count="11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" showAll="0"/>
    <pivotField numFmtId="1" showAll="0"/>
    <pivotField numFmtId="1" showAll="0"/>
    <pivotField numFmtId="1" showAll="0"/>
    <pivotField showAll="0"/>
    <pivotField numFmtId="1" showAll="0"/>
    <pivotField showAll="0"/>
    <pivotField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MonthlyFee" fld="2" baseField="0" baseItem="0" numFmtId="164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EA809-D092-47E2-AC8B-2E29F6ED910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embershipPlan">
  <location ref="A3:B7" firstHeaderRow="1" firstDataRow="1" firstDataCol="1"/>
  <pivotFields count="11"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" showAll="0"/>
    <pivotField numFmtId="1" showAll="0"/>
    <pivotField numFmtId="1" showAll="0"/>
    <pivotField numFmtId="1" showAll="0"/>
    <pivotField showAll="0"/>
    <pivotField dataField="1" numFmtId="1" showAll="0"/>
    <pivotField showAll="0"/>
    <pivotField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CancellationFlag" fld="8" baseField="0" baseItem="0" numFmtId="1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Row" fieldPosition="0"/>
    </format>
    <format dxfId="38">
      <pivotArea dataOnly="0" labelOnly="1" fieldPosition="0">
        <references count="1">
          <reference field="1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16146-938D-47AC-907E-DED9CA31D92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ember Segment">
  <location ref="A3:B7" firstHeaderRow="1" firstDataRow="1" firstDataCol="1"/>
  <pivotFields count="11">
    <pivotField showAll="0"/>
    <pivotField showAll="0"/>
    <pivotField numFmtId="164" showAll="0"/>
    <pivotField dataField="1" numFmtId="1" showAll="0"/>
    <pivotField numFmtId="1" showAll="0"/>
    <pivotField numFmtId="1" showAll="0"/>
    <pivotField numFmtId="1" showAll="0"/>
    <pivotField showAll="0"/>
    <pivotField numFmtId="1"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Avg of GymVisits_PerMonth" fld="3" subtotal="average" baseField="10" baseItem="0" numFmtId="1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0" type="button" dataOnly="0" labelOnly="1" outline="0" axis="axisRow" fieldPosition="0"/>
    </format>
    <format dxfId="32">
      <pivotArea dataOnly="0" labelOnly="1" fieldPosition="0">
        <references count="1">
          <reference field="1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0" type="button" dataOnly="0" labelOnly="1" outline="0" axis="axisRow" fieldPosition="0"/>
    </format>
    <format dxfId="26">
      <pivotArea dataOnly="0" labelOnly="1" fieldPosition="0">
        <references count="1">
          <reference field="1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7B9ED-5F61-438C-AF1D-86122ECE03C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Engagement Level">
  <location ref="A3:B7" firstHeaderRow="1" firstDataRow="1" firstDataCol="1"/>
  <pivotFields count="11">
    <pivotField showAll="0"/>
    <pivotField showAll="0"/>
    <pivotField numFmtId="164" showAll="0"/>
    <pivotField numFmtId="1" showAll="0"/>
    <pivotField numFmtId="1" showAll="0"/>
    <pivotField dataField="1" numFmtId="1" showAll="0"/>
    <pivotField numFmtId="1" showAll="0"/>
    <pivotField showAll="0"/>
    <pivotField numFmtId="1"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g of FitnessRating" fld="5" subtotal="average" baseField="9" baseItem="0" numFmtId="1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9" type="button" dataOnly="0" labelOnly="1" outline="0" axis="axisRow" fieldPosition="0"/>
    </format>
    <format dxfId="20">
      <pivotArea dataOnly="0" labelOnly="1" fieldPosition="0">
        <references count="1">
          <reference field="9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9" type="button" dataOnly="0" labelOnly="1" outline="0" axis="axisRow" fieldPosition="0"/>
    </format>
    <format dxfId="14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821BD-0906-45DF-98E1-F3D5314D737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ncelled">
  <location ref="A3:B6" firstHeaderRow="1" firstDataRow="1" firstDataCol="1"/>
  <pivotFields count="11">
    <pivotField showAll="0"/>
    <pivotField showAll="0"/>
    <pivotField numFmtId="164" showAll="0"/>
    <pivotField numFmtId="1" showAll="0"/>
    <pivotField dataField="1" numFmtId="1" showAll="0"/>
    <pivotField numFmtId="1" showAll="0"/>
    <pivotField numFmtId="1" showAll="0"/>
    <pivotField axis="axisRow" showAll="0">
      <items count="3">
        <item x="1"/>
        <item x="0"/>
        <item t="default"/>
      </items>
    </pivotField>
    <pivotField numFmtId="1"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g of PersonalTrainingSessions" fld="4" subtotal="average" baseField="7" baseItem="0" numFmtId="1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7" type="button" dataOnly="0" labelOnly="1" outline="0" axis="axisRow" fieldPosition="0"/>
    </format>
    <format dxfId="8">
      <pivotArea dataOnly="0" labelOnly="1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11BB-2FA8-4DD7-8831-19895107D37A}">
  <sheetPr codeName="Sheet5"/>
  <dimension ref="A3:B15"/>
  <sheetViews>
    <sheetView workbookViewId="0">
      <selection activeCell="D23" sqref="D23"/>
    </sheetView>
  </sheetViews>
  <sheetFormatPr defaultRowHeight="14.4" x14ac:dyDescent="0.3"/>
  <cols>
    <col min="1" max="1" width="48.5546875" style="2" bestFit="1" customWidth="1"/>
    <col min="2" max="2" width="17.77734375" style="2" bestFit="1" customWidth="1"/>
    <col min="3" max="16384" width="8.88671875" style="2"/>
  </cols>
  <sheetData>
    <row r="3" spans="1:2" x14ac:dyDescent="0.3">
      <c r="A3" s="9" t="s">
        <v>1</v>
      </c>
      <c r="B3" s="2" t="s">
        <v>42</v>
      </c>
    </row>
    <row r="4" spans="1:2" x14ac:dyDescent="0.3">
      <c r="A4" s="2" t="s">
        <v>12</v>
      </c>
      <c r="B4" s="6">
        <v>10497</v>
      </c>
    </row>
    <row r="5" spans="1:2" x14ac:dyDescent="0.3">
      <c r="A5" s="2" t="s">
        <v>15</v>
      </c>
      <c r="B5" s="6">
        <v>5997</v>
      </c>
    </row>
    <row r="6" spans="1:2" x14ac:dyDescent="0.3">
      <c r="A6" s="2" t="s">
        <v>9</v>
      </c>
      <c r="B6" s="6">
        <v>3996</v>
      </c>
    </row>
    <row r="7" spans="1:2" x14ac:dyDescent="0.3">
      <c r="A7" s="2" t="s">
        <v>26</v>
      </c>
      <c r="B7" s="6">
        <v>20490</v>
      </c>
    </row>
    <row r="11" spans="1:2" x14ac:dyDescent="0.3">
      <c r="A11" s="1" t="s">
        <v>43</v>
      </c>
      <c r="B11" s="1" t="str">
        <f>_xlfn.XLOOKUP(MIN(B4:B6),B4:B6,A4:A6,)</f>
        <v>Basic</v>
      </c>
    </row>
    <row r="15" spans="1:2" x14ac:dyDescent="0.3">
      <c r="A15" s="1" t="s">
        <v>44</v>
      </c>
      <c r="B15" s="10">
        <f>VLOOKUP(A6,A4:B6,2,FALSE)</f>
        <v>3996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9983-0538-4EB0-96A6-69F61D64F176}">
  <sheetPr codeName="Sheet2"/>
  <dimension ref="A3:B15"/>
  <sheetViews>
    <sheetView workbookViewId="0">
      <selection activeCell="K25" sqref="K25"/>
    </sheetView>
  </sheetViews>
  <sheetFormatPr defaultRowHeight="14.4" x14ac:dyDescent="0.3"/>
  <cols>
    <col min="1" max="1" width="34.6640625" style="2" bestFit="1" customWidth="1"/>
    <col min="2" max="2" width="21.44140625" style="2" bestFit="1" customWidth="1"/>
    <col min="3" max="16384" width="8.88671875" style="2"/>
  </cols>
  <sheetData>
    <row r="3" spans="1:2" x14ac:dyDescent="0.3">
      <c r="A3" s="9" t="s">
        <v>1</v>
      </c>
      <c r="B3" s="2" t="s">
        <v>27</v>
      </c>
    </row>
    <row r="4" spans="1:2" x14ac:dyDescent="0.3">
      <c r="A4" s="2" t="s">
        <v>12</v>
      </c>
      <c r="B4" s="8">
        <v>0</v>
      </c>
    </row>
    <row r="5" spans="1:2" x14ac:dyDescent="0.3">
      <c r="A5" s="2" t="s">
        <v>15</v>
      </c>
      <c r="B5" s="8">
        <v>1</v>
      </c>
    </row>
    <row r="6" spans="1:2" x14ac:dyDescent="0.3">
      <c r="A6" s="2" t="s">
        <v>9</v>
      </c>
      <c r="B6" s="8">
        <v>4</v>
      </c>
    </row>
    <row r="7" spans="1:2" x14ac:dyDescent="0.3">
      <c r="A7" s="2" t="s">
        <v>26</v>
      </c>
      <c r="B7" s="8">
        <v>5</v>
      </c>
    </row>
    <row r="11" spans="1:2" x14ac:dyDescent="0.3">
      <c r="A11" s="1" t="s">
        <v>28</v>
      </c>
      <c r="B11" s="1" t="str">
        <f>_xlfn.XLOOKUP(MIN(B4:B6),B4:B6,A4:A6,)</f>
        <v>Premium</v>
      </c>
    </row>
    <row r="15" spans="1:2" x14ac:dyDescent="0.3">
      <c r="A15" s="1" t="s">
        <v>29</v>
      </c>
      <c r="B15" s="1">
        <f>VLOOKUP(A4,A4:B6,2,FALSE)</f>
        <v>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97AE-2A0D-42A4-B5C7-8F9D7B97D21E}">
  <sheetPr codeName="Sheet3"/>
  <dimension ref="A3:B14"/>
  <sheetViews>
    <sheetView workbookViewId="0">
      <selection activeCell="M11" sqref="M11"/>
    </sheetView>
  </sheetViews>
  <sheetFormatPr defaultRowHeight="14.4" x14ac:dyDescent="0.3"/>
  <cols>
    <col min="1" max="1" width="38.88671875" style="2" bestFit="1" customWidth="1"/>
    <col min="2" max="2" width="25" style="2" bestFit="1" customWidth="1"/>
    <col min="3" max="16384" width="8.88671875" style="2"/>
  </cols>
  <sheetData>
    <row r="3" spans="1:2" x14ac:dyDescent="0.3">
      <c r="A3" s="9" t="s">
        <v>25</v>
      </c>
      <c r="B3" s="2" t="s">
        <v>33</v>
      </c>
    </row>
    <row r="4" spans="1:2" x14ac:dyDescent="0.3">
      <c r="A4" s="2" t="s">
        <v>31</v>
      </c>
      <c r="B4" s="8">
        <v>21</v>
      </c>
    </row>
    <row r="5" spans="1:2" x14ac:dyDescent="0.3">
      <c r="A5" s="2" t="s">
        <v>30</v>
      </c>
      <c r="B5" s="8">
        <v>11.75</v>
      </c>
    </row>
    <row r="6" spans="1:2" x14ac:dyDescent="0.3">
      <c r="A6" s="2" t="s">
        <v>32</v>
      </c>
      <c r="B6" s="8">
        <v>4.5</v>
      </c>
    </row>
    <row r="7" spans="1:2" x14ac:dyDescent="0.3">
      <c r="A7" s="2" t="s">
        <v>26</v>
      </c>
      <c r="B7" s="8">
        <v>10.7</v>
      </c>
    </row>
    <row r="10" spans="1:2" x14ac:dyDescent="0.3">
      <c r="A10" s="1" t="s">
        <v>34</v>
      </c>
      <c r="B10" s="1" t="str">
        <f>_xlfn.XLOOKUP(MEDIAN(B4:B6),B4:B6,A4:A6,)</f>
        <v>Active</v>
      </c>
    </row>
    <row r="14" spans="1:2" x14ac:dyDescent="0.3">
      <c r="A14" s="1" t="s">
        <v>35</v>
      </c>
      <c r="B14" s="7">
        <f>VLOOKUP(A5,A4:B6,2,FALSE)</f>
        <v>11.75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78EA-313C-4DBB-91DB-24D42C15F4A0}">
  <sheetPr codeName="Sheet4"/>
  <dimension ref="A3:B16"/>
  <sheetViews>
    <sheetView workbookViewId="0">
      <selection activeCell="H25" sqref="H25"/>
    </sheetView>
  </sheetViews>
  <sheetFormatPr defaultRowHeight="14.4" x14ac:dyDescent="0.3"/>
  <cols>
    <col min="1" max="1" width="44.77734375" style="2" bestFit="1" customWidth="1"/>
    <col min="2" max="2" width="18.109375" style="2" bestFit="1" customWidth="1"/>
    <col min="3" max="16384" width="8.88671875" style="2"/>
  </cols>
  <sheetData>
    <row r="3" spans="1:2" x14ac:dyDescent="0.3">
      <c r="A3" s="9" t="s">
        <v>24</v>
      </c>
      <c r="B3" s="2" t="s">
        <v>39</v>
      </c>
    </row>
    <row r="4" spans="1:2" x14ac:dyDescent="0.3">
      <c r="A4" s="2" t="s">
        <v>36</v>
      </c>
      <c r="B4" s="8">
        <v>5</v>
      </c>
    </row>
    <row r="5" spans="1:2" x14ac:dyDescent="0.3">
      <c r="A5" s="2" t="s">
        <v>38</v>
      </c>
      <c r="B5" s="8">
        <v>3.6666666666666665</v>
      </c>
    </row>
    <row r="6" spans="1:2" x14ac:dyDescent="0.3">
      <c r="A6" s="2" t="s">
        <v>37</v>
      </c>
      <c r="B6" s="8">
        <v>1.5</v>
      </c>
    </row>
    <row r="7" spans="1:2" x14ac:dyDescent="0.3">
      <c r="A7" s="2" t="s">
        <v>26</v>
      </c>
      <c r="B7" s="8">
        <v>3.2</v>
      </c>
    </row>
    <row r="11" spans="1:2" x14ac:dyDescent="0.3">
      <c r="A11" s="1" t="s">
        <v>40</v>
      </c>
      <c r="B11" s="1" t="str">
        <f>_xlfn.XLOOKUP(MAX(B4:B6),B4:B6,A4:A6,)</f>
        <v>High</v>
      </c>
    </row>
    <row r="16" spans="1:2" x14ac:dyDescent="0.3">
      <c r="A16" s="1" t="s">
        <v>41</v>
      </c>
      <c r="B16" s="1">
        <f>VLOOKUP(A4,A4:B6,2,FALSE)</f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7EB8-9405-415A-BB8E-A3E481FD5141}">
  <sheetPr codeName="Sheet6"/>
  <dimension ref="A3:B14"/>
  <sheetViews>
    <sheetView tabSelected="1" workbookViewId="0">
      <selection activeCell="F22" sqref="F22"/>
    </sheetView>
  </sheetViews>
  <sheetFormatPr defaultRowHeight="14.4" x14ac:dyDescent="0.3"/>
  <cols>
    <col min="1" max="1" width="53.21875" style="2" bestFit="1" customWidth="1"/>
    <col min="2" max="2" width="28.33203125" style="2" bestFit="1" customWidth="1"/>
    <col min="3" max="16384" width="8.88671875" style="2"/>
  </cols>
  <sheetData>
    <row r="3" spans="1:2" x14ac:dyDescent="0.3">
      <c r="A3" s="9" t="s">
        <v>7</v>
      </c>
      <c r="B3" s="2" t="s">
        <v>45</v>
      </c>
    </row>
    <row r="4" spans="1:2" x14ac:dyDescent="0.3">
      <c r="A4" s="2" t="s">
        <v>13</v>
      </c>
      <c r="B4" s="8">
        <v>5.2</v>
      </c>
    </row>
    <row r="5" spans="1:2" x14ac:dyDescent="0.3">
      <c r="A5" s="2" t="s">
        <v>10</v>
      </c>
      <c r="B5" s="8">
        <v>0.2</v>
      </c>
    </row>
    <row r="6" spans="1:2" x14ac:dyDescent="0.3">
      <c r="A6" s="2" t="s">
        <v>26</v>
      </c>
      <c r="B6" s="8">
        <v>2.7</v>
      </c>
    </row>
    <row r="10" spans="1:2" x14ac:dyDescent="0.3">
      <c r="A10" s="1" t="s">
        <v>46</v>
      </c>
      <c r="B10" s="1" t="str">
        <f>_xlfn.XLOOKUP(MIN(B4:B5),B4:B5,A4:A5,)</f>
        <v>Yes</v>
      </c>
    </row>
    <row r="14" spans="1:2" x14ac:dyDescent="0.3">
      <c r="A14" s="1" t="s">
        <v>47</v>
      </c>
      <c r="B14" s="7">
        <f>VLOOKUP(A5,A4:B5,2,FALSE)</f>
        <v>0.2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412A-2BE6-42E5-922D-C77CD2D00E95}">
  <sheetPr codeName="Sheet1"/>
  <dimension ref="A1:K11"/>
  <sheetViews>
    <sheetView workbookViewId="0">
      <selection sqref="A1:K11"/>
    </sheetView>
  </sheetViews>
  <sheetFormatPr defaultRowHeight="14.4" x14ac:dyDescent="0.3"/>
  <cols>
    <col min="1" max="1" width="10" style="2" bestFit="1" customWidth="1"/>
    <col min="2" max="2" width="15.44140625" style="4" bestFit="1" customWidth="1"/>
    <col min="3" max="3" width="12.44140625" style="6" bestFit="1" customWidth="1"/>
    <col min="4" max="4" width="19" style="8" bestFit="1" customWidth="1"/>
    <col min="5" max="5" width="22.33203125" style="8" bestFit="1" customWidth="1"/>
    <col min="6" max="6" width="12" style="8" bestFit="1" customWidth="1"/>
    <col min="7" max="7" width="27" style="8" bestFit="1" customWidth="1"/>
    <col min="8" max="8" width="9.109375" style="4" bestFit="1" customWidth="1"/>
    <col min="9" max="9" width="14.77734375" style="8" bestFit="1" customWidth="1"/>
    <col min="10" max="10" width="16.44140625" style="4" bestFit="1" customWidth="1"/>
    <col min="11" max="11" width="16.21875" style="4" bestFit="1" customWidth="1"/>
    <col min="12" max="16384" width="8.88671875" style="2"/>
  </cols>
  <sheetData>
    <row r="1" spans="1:11" x14ac:dyDescent="0.3">
      <c r="A1" s="1" t="s">
        <v>0</v>
      </c>
      <c r="B1" s="3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3" t="s">
        <v>7</v>
      </c>
      <c r="I1" s="7" t="s">
        <v>23</v>
      </c>
      <c r="J1" s="3" t="s">
        <v>24</v>
      </c>
      <c r="K1" s="3" t="s">
        <v>25</v>
      </c>
    </row>
    <row r="2" spans="1:11" x14ac:dyDescent="0.3">
      <c r="A2" s="2" t="s">
        <v>8</v>
      </c>
      <c r="B2" s="4" t="s">
        <v>9</v>
      </c>
      <c r="C2" s="6">
        <v>999</v>
      </c>
      <c r="D2" s="8">
        <v>5</v>
      </c>
      <c r="E2" s="8">
        <v>0</v>
      </c>
      <c r="F2" s="8">
        <v>2</v>
      </c>
      <c r="G2" s="8">
        <v>3</v>
      </c>
      <c r="H2" s="4" t="s">
        <v>10</v>
      </c>
      <c r="I2" s="8">
        <f>IF(H2="Yes",1,0)</f>
        <v>1</v>
      </c>
      <c r="J2" s="4" t="str">
        <f>IF(D2&lt;=6,"Low",IF(D2&lt;=15,"Medium","High"))</f>
        <v>Low</v>
      </c>
      <c r="K2" s="4" t="str">
        <f>IF(G2&lt;=6,"New",IF(G2&lt;=18,"Active","Loyal"))</f>
        <v>New</v>
      </c>
    </row>
    <row r="3" spans="1:11" x14ac:dyDescent="0.3">
      <c r="A3" s="2" t="s">
        <v>11</v>
      </c>
      <c r="B3" s="4" t="s">
        <v>12</v>
      </c>
      <c r="C3" s="6">
        <v>3499</v>
      </c>
      <c r="D3" s="8">
        <v>18</v>
      </c>
      <c r="E3" s="8">
        <v>6</v>
      </c>
      <c r="F3" s="8">
        <v>5</v>
      </c>
      <c r="G3" s="8">
        <v>18</v>
      </c>
      <c r="H3" s="4" t="s">
        <v>13</v>
      </c>
      <c r="I3" s="8">
        <f t="shared" ref="I3:I11" si="0">IF(H3="Yes",1,0)</f>
        <v>0</v>
      </c>
      <c r="J3" s="4" t="str">
        <f t="shared" ref="J3:J11" si="1">IF(D3&lt;=6,"Low",IF(D3&lt;=15,"Medium","High"))</f>
        <v>High</v>
      </c>
      <c r="K3" s="4" t="str">
        <f t="shared" ref="K3:K11" si="2">IF(G3&lt;=6,"New",IF(G3&lt;=18,"Active","Loyal"))</f>
        <v>Active</v>
      </c>
    </row>
    <row r="4" spans="1:11" x14ac:dyDescent="0.3">
      <c r="A4" s="2" t="s">
        <v>14</v>
      </c>
      <c r="B4" s="4" t="s">
        <v>15</v>
      </c>
      <c r="C4" s="6">
        <v>1999</v>
      </c>
      <c r="D4" s="8">
        <v>10</v>
      </c>
      <c r="E4" s="8">
        <v>2</v>
      </c>
      <c r="F4" s="8">
        <v>4</v>
      </c>
      <c r="G4" s="8">
        <v>9</v>
      </c>
      <c r="H4" s="4" t="s">
        <v>13</v>
      </c>
      <c r="I4" s="8">
        <f t="shared" si="0"/>
        <v>0</v>
      </c>
      <c r="J4" s="4" t="str">
        <f t="shared" si="1"/>
        <v>Medium</v>
      </c>
      <c r="K4" s="4" t="str">
        <f t="shared" si="2"/>
        <v>Active</v>
      </c>
    </row>
    <row r="5" spans="1:11" x14ac:dyDescent="0.3">
      <c r="A5" s="2" t="s">
        <v>16</v>
      </c>
      <c r="B5" s="4" t="s">
        <v>9</v>
      </c>
      <c r="C5" s="6">
        <v>999</v>
      </c>
      <c r="D5" s="8">
        <v>4</v>
      </c>
      <c r="E5" s="8">
        <v>0</v>
      </c>
      <c r="F5" s="8">
        <v>1</v>
      </c>
      <c r="G5" s="8">
        <v>2</v>
      </c>
      <c r="H5" s="4" t="s">
        <v>10</v>
      </c>
      <c r="I5" s="8">
        <f t="shared" si="0"/>
        <v>1</v>
      </c>
      <c r="J5" s="4" t="str">
        <f t="shared" si="1"/>
        <v>Low</v>
      </c>
      <c r="K5" s="4" t="str">
        <f t="shared" si="2"/>
        <v>New</v>
      </c>
    </row>
    <row r="6" spans="1:11" x14ac:dyDescent="0.3">
      <c r="A6" s="2" t="s">
        <v>17</v>
      </c>
      <c r="B6" s="4" t="s">
        <v>12</v>
      </c>
      <c r="C6" s="6">
        <v>3499</v>
      </c>
      <c r="D6" s="8">
        <v>22</v>
      </c>
      <c r="E6" s="8">
        <v>8</v>
      </c>
      <c r="F6" s="8">
        <v>5</v>
      </c>
      <c r="G6" s="8">
        <v>24</v>
      </c>
      <c r="H6" s="4" t="s">
        <v>13</v>
      </c>
      <c r="I6" s="8">
        <f t="shared" si="0"/>
        <v>0</v>
      </c>
      <c r="J6" s="4" t="str">
        <f t="shared" si="1"/>
        <v>High</v>
      </c>
      <c r="K6" s="4" t="str">
        <f t="shared" si="2"/>
        <v>Loyal</v>
      </c>
    </row>
    <row r="7" spans="1:11" x14ac:dyDescent="0.3">
      <c r="A7" s="2" t="s">
        <v>18</v>
      </c>
      <c r="B7" s="4" t="s">
        <v>15</v>
      </c>
      <c r="C7" s="6">
        <v>1999</v>
      </c>
      <c r="D7" s="8">
        <v>8</v>
      </c>
      <c r="E7" s="8">
        <v>1</v>
      </c>
      <c r="F7" s="8">
        <v>3</v>
      </c>
      <c r="G7" s="8">
        <v>7</v>
      </c>
      <c r="H7" s="4" t="s">
        <v>10</v>
      </c>
      <c r="I7" s="8">
        <f t="shared" si="0"/>
        <v>1</v>
      </c>
      <c r="J7" s="4" t="str">
        <f t="shared" si="1"/>
        <v>Medium</v>
      </c>
      <c r="K7" s="4" t="str">
        <f t="shared" si="2"/>
        <v>Active</v>
      </c>
    </row>
    <row r="8" spans="1:11" x14ac:dyDescent="0.3">
      <c r="A8" s="2" t="s">
        <v>19</v>
      </c>
      <c r="B8" s="4" t="s">
        <v>9</v>
      </c>
      <c r="C8" s="6">
        <v>999</v>
      </c>
      <c r="D8" s="8">
        <v>6</v>
      </c>
      <c r="E8" s="8">
        <v>0</v>
      </c>
      <c r="F8" s="8">
        <v>2</v>
      </c>
      <c r="G8" s="8">
        <v>4</v>
      </c>
      <c r="H8" s="4" t="s">
        <v>10</v>
      </c>
      <c r="I8" s="8">
        <f t="shared" si="0"/>
        <v>1</v>
      </c>
      <c r="J8" s="4" t="str">
        <f t="shared" si="1"/>
        <v>Low</v>
      </c>
      <c r="K8" s="4" t="str">
        <f t="shared" si="2"/>
        <v>New</v>
      </c>
    </row>
    <row r="9" spans="1:11" x14ac:dyDescent="0.3">
      <c r="A9" s="2" t="s">
        <v>20</v>
      </c>
      <c r="B9" s="4" t="s">
        <v>12</v>
      </c>
      <c r="C9" s="6">
        <v>3499</v>
      </c>
      <c r="D9" s="8">
        <v>20</v>
      </c>
      <c r="E9" s="8">
        <v>7</v>
      </c>
      <c r="F9" s="8">
        <v>5</v>
      </c>
      <c r="G9" s="8">
        <v>20</v>
      </c>
      <c r="H9" s="4" t="s">
        <v>13</v>
      </c>
      <c r="I9" s="8">
        <f t="shared" si="0"/>
        <v>0</v>
      </c>
      <c r="J9" s="4" t="str">
        <f t="shared" si="1"/>
        <v>High</v>
      </c>
      <c r="K9" s="4" t="str">
        <f t="shared" si="2"/>
        <v>Loyal</v>
      </c>
    </row>
    <row r="10" spans="1:11" x14ac:dyDescent="0.3">
      <c r="A10" s="2" t="s">
        <v>21</v>
      </c>
      <c r="B10" s="4" t="s">
        <v>15</v>
      </c>
      <c r="C10" s="6">
        <v>1999</v>
      </c>
      <c r="D10" s="8">
        <v>11</v>
      </c>
      <c r="E10" s="8">
        <v>3</v>
      </c>
      <c r="F10" s="8">
        <v>4</v>
      </c>
      <c r="G10" s="8">
        <v>10</v>
      </c>
      <c r="H10" s="4" t="s">
        <v>13</v>
      </c>
      <c r="I10" s="8">
        <f t="shared" si="0"/>
        <v>0</v>
      </c>
      <c r="J10" s="4" t="str">
        <f t="shared" si="1"/>
        <v>Medium</v>
      </c>
      <c r="K10" s="4" t="str">
        <f t="shared" si="2"/>
        <v>Active</v>
      </c>
    </row>
    <row r="11" spans="1:11" x14ac:dyDescent="0.3">
      <c r="A11" s="2" t="s">
        <v>22</v>
      </c>
      <c r="B11" s="4" t="s">
        <v>9</v>
      </c>
      <c r="C11" s="6">
        <v>999</v>
      </c>
      <c r="D11" s="8">
        <v>3</v>
      </c>
      <c r="E11" s="8">
        <v>0</v>
      </c>
      <c r="F11" s="8">
        <v>1</v>
      </c>
      <c r="G11" s="8">
        <v>1</v>
      </c>
      <c r="H11" s="4" t="s">
        <v>10</v>
      </c>
      <c r="I11" s="8">
        <f t="shared" si="0"/>
        <v>1</v>
      </c>
      <c r="J11" s="4" t="str">
        <f t="shared" si="1"/>
        <v>Low</v>
      </c>
      <c r="K11" s="4" t="str">
        <f t="shared" si="2"/>
        <v>New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MonthlyFee by MembershipPlan</vt:lpstr>
      <vt:lpstr>Cancellation rate by Membership</vt:lpstr>
      <vt:lpstr>Avg Gym vists by Member Segment</vt:lpstr>
      <vt:lpstr>Avg Fitness Rating by Engagemen</vt:lpstr>
      <vt:lpstr>Avg Personal Training sessions 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</dc:creator>
  <cp:lastModifiedBy>Swaroopa B</cp:lastModifiedBy>
  <dcterms:created xsi:type="dcterms:W3CDTF">2026-06-13T16:21:38Z</dcterms:created>
  <dcterms:modified xsi:type="dcterms:W3CDTF">2026-06-21T17:47:57Z</dcterms:modified>
</cp:coreProperties>
</file>