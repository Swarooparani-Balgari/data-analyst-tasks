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4\"/>
    </mc:Choice>
  </mc:AlternateContent>
  <xr:revisionPtr revIDLastSave="0" documentId="13_ncr:1_{9A6095AF-7304-474B-8B92-514B519A98EB}" xr6:coauthVersionLast="47" xr6:coauthVersionMax="47" xr10:uidLastSave="{00000000-0000-0000-0000-000000000000}"/>
  <bookViews>
    <workbookView xWindow="-108" yWindow="-108" windowWidth="23256" windowHeight="12456" firstSheet="2" activeTab="5" xr2:uid="{D3787173-F95A-4D7C-8D72-46536F454357}"/>
  </bookViews>
  <sheets>
    <sheet name="Revenue by SubscriptionType" sheetId="2" r:id="rId1"/>
    <sheet name="Avg WatchHours by Country" sheetId="3" r:id="rId2"/>
    <sheet name="Revenue by Country" sheetId="5" r:id="rId3"/>
    <sheet name="Churn Count by SubscriptionType" sheetId="4" r:id="rId4"/>
    <sheet name="Revenue by JoinDate" sheetId="6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 a="1"/>
  <c r="B17" i="6" s="1"/>
  <c r="B10" i="5"/>
  <c r="B10" i="4" a="1"/>
  <c r="B10" i="4" s="1"/>
  <c r="B10" i="3"/>
  <c r="B10" i="2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<sst xmlns="http://schemas.openxmlformats.org/spreadsheetml/2006/main" count="71" uniqueCount="26">
  <si>
    <t>UserID</t>
  </si>
  <si>
    <t>JoinDate</t>
  </si>
  <si>
    <t>Country</t>
  </si>
  <si>
    <t>SubscriptionType</t>
  </si>
  <si>
    <t>MonthlyFee</t>
  </si>
  <si>
    <t>WatchHours</t>
  </si>
  <si>
    <t>DevicesUsed</t>
  </si>
  <si>
    <t>Churned</t>
  </si>
  <si>
    <t>India</t>
  </si>
  <si>
    <t>Basic</t>
  </si>
  <si>
    <t>No</t>
  </si>
  <si>
    <t>USA</t>
  </si>
  <si>
    <t>Premium</t>
  </si>
  <si>
    <t>Standard</t>
  </si>
  <si>
    <t>Yes</t>
  </si>
  <si>
    <t>UK</t>
  </si>
  <si>
    <t>MonthlyRevenue</t>
  </si>
  <si>
    <t>Grand Total</t>
  </si>
  <si>
    <t>Sum of MonthlyRevenue</t>
  </si>
  <si>
    <t>Most Profitable SubscriptionType</t>
  </si>
  <si>
    <t>Avg of WatchHours</t>
  </si>
  <si>
    <t>Country which has lowest Avg WatchHours</t>
  </si>
  <si>
    <t>Count of Churned</t>
  </si>
  <si>
    <t>Which SubscriptionType has low ChurnCount</t>
  </si>
  <si>
    <t>Which Country has highest Revenue</t>
  </si>
  <si>
    <t>Which Joindates had the highest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</si>
</sst>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pivotButton="1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41"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4.xlsx]Revenue by SubscriptionType!PivotTable1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SubscriptionType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'Revenue by SubscriptionType'!$B$3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A4-4764-97FA-88C5E91321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A4-4764-97FA-88C5E91321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A4-4764-97FA-88C5E91321D3}"/>
              </c:ext>
            </c:extLst>
          </c:dPt>
          <c:cat>
            <c:strRef>
              <c:f>'Revenue by SubscriptionType'!$A$4:$A$7</c:f>
              <c:strCache>
                <c:ptCount val="3"/>
                <c:pt idx="0">
                  <c:v>Premium</c:v>
                </c:pt>
                <c:pt idx="1">
                  <c:v>Standard</c:v>
                </c:pt>
                <c:pt idx="2">
                  <c:v>Basic</c:v>
                </c:pt>
              </c:strCache>
            </c:strRef>
          </c:cat>
          <c:val>
            <c:numRef>
              <c:f>'Revenue by SubscriptionType'!$B$4:$B$7</c:f>
              <c:numCache>
                <c:formatCode>"₹"\ #,##0.00</c:formatCode>
                <c:ptCount val="3"/>
                <c:pt idx="0">
                  <c:v>2397</c:v>
                </c:pt>
                <c:pt idx="1">
                  <c:v>1497</c:v>
                </c:pt>
                <c:pt idx="2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4-4764-97FA-88C5E9132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849039"/>
        <c:axId val="1167837999"/>
      </c:barChart>
      <c:catAx>
        <c:axId val="11678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37999"/>
        <c:crosses val="autoZero"/>
        <c:auto val="1"/>
        <c:lblAlgn val="ctr"/>
        <c:lblOffset val="100"/>
        <c:noMultiLvlLbl val="0"/>
      </c:catAx>
      <c:valAx>
        <c:axId val="116783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4.xlsx]Avg WatchHours by Country!PivotTable2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WatchHours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'Avg WatchHours by Country'!$B$3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13-4B3D-8F02-0A37806ADA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3-4B3D-8F02-0A37806ADA4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13-4B3D-8F02-0A37806ADA46}"/>
              </c:ext>
            </c:extLst>
          </c:dPt>
          <c:cat>
            <c:strRef>
              <c:f>'Avg WatchHours by Country'!$A$4:$A$7</c:f>
              <c:strCache>
                <c:ptCount val="3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'Avg WatchHours by Country'!$B$4:$B$7</c:f>
              <c:numCache>
                <c:formatCode>0.00</c:formatCode>
                <c:ptCount val="3"/>
                <c:pt idx="0">
                  <c:v>21.75</c:v>
                </c:pt>
                <c:pt idx="1">
                  <c:v>23.333333333333332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3-4B3D-8F02-0A37806AD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67860559"/>
        <c:axId val="1167862959"/>
      </c:barChart>
      <c:catAx>
        <c:axId val="116786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62959"/>
        <c:crosses val="autoZero"/>
        <c:auto val="1"/>
        <c:lblAlgn val="ctr"/>
        <c:lblOffset val="100"/>
        <c:noMultiLvlLbl val="0"/>
      </c:catAx>
      <c:valAx>
        <c:axId val="116786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6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4.xlsx]Revenue by Country!PivotTable4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Country'!$B$3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F4D-4CF2-8A36-87C2530CD9CE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4D-4CF2-8A36-87C2530CD9CE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F4D-4CF2-8A36-87C2530CD9CE}"/>
              </c:ext>
            </c:extLst>
          </c:dPt>
          <c:cat>
            <c:strRef>
              <c:f>'Revenue by Country'!$A$4:$A$7</c:f>
              <c:strCache>
                <c:ptCount val="3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'Revenue by Country'!$B$4:$B$7</c:f>
              <c:numCache>
                <c:formatCode>General</c:formatCode>
                <c:ptCount val="3"/>
                <c:pt idx="0">
                  <c:v>1696</c:v>
                </c:pt>
                <c:pt idx="1">
                  <c:v>1497</c:v>
                </c:pt>
                <c:pt idx="2">
                  <c:v>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D-4CF2-8A36-87C2530CD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4.xlsx]Churn Count by SubscriptionType!PivotTable3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Count by SubscriptionType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Count by SubscriptionType'!$B$3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F4-4519-A1AD-3FD507FE4585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F4-4519-A1AD-3FD507FE4585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6F4-4519-A1AD-3FD507FE4585}"/>
              </c:ext>
            </c:extLst>
          </c:dPt>
          <c:cat>
            <c:strRef>
              <c:f>'Churn Count by SubscriptionType'!$A$4:$A$7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Count by SubscriptionType'!$B$4:$B$7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4-4519-A1AD-3FD507FE4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4.xlsx]Revenue by JoinDate!PivotTable5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JoinDate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JoinDate'!$B$3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by JoinDate'!$A$4:$A$14</c:f>
              <c:strCache>
                <c:ptCount val="10"/>
                <c:pt idx="0">
                  <c:v>01-03-2026</c:v>
                </c:pt>
                <c:pt idx="1">
                  <c:v>02-03-2026</c:v>
                </c:pt>
                <c:pt idx="2">
                  <c:v>03-03-2026</c:v>
                </c:pt>
                <c:pt idx="3">
                  <c:v>04-03-2026</c:v>
                </c:pt>
                <c:pt idx="4">
                  <c:v>05-03-2026</c:v>
                </c:pt>
                <c:pt idx="5">
                  <c:v>06-03-2026</c:v>
                </c:pt>
                <c:pt idx="6">
                  <c:v>07-03-2026</c:v>
                </c:pt>
                <c:pt idx="7">
                  <c:v>08-03-2026</c:v>
                </c:pt>
                <c:pt idx="8">
                  <c:v>09-03-2026</c:v>
                </c:pt>
                <c:pt idx="9">
                  <c:v>10-03-2026</c:v>
                </c:pt>
              </c:strCache>
            </c:strRef>
          </c:cat>
          <c:val>
            <c:numRef>
              <c:f>'Revenue by JoinDate'!$B$4:$B$14</c:f>
              <c:numCache>
                <c:formatCode>"₹"\ #,##0.00</c:formatCode>
                <c:ptCount val="10"/>
                <c:pt idx="0">
                  <c:v>199</c:v>
                </c:pt>
                <c:pt idx="1">
                  <c:v>799</c:v>
                </c:pt>
                <c:pt idx="2">
                  <c:v>499</c:v>
                </c:pt>
                <c:pt idx="3">
                  <c:v>799</c:v>
                </c:pt>
                <c:pt idx="4">
                  <c:v>199</c:v>
                </c:pt>
                <c:pt idx="5">
                  <c:v>499</c:v>
                </c:pt>
                <c:pt idx="6">
                  <c:v>199</c:v>
                </c:pt>
                <c:pt idx="7">
                  <c:v>799</c:v>
                </c:pt>
                <c:pt idx="8">
                  <c:v>199</c:v>
                </c:pt>
                <c:pt idx="9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3-4C26-9BD2-CD8C5B52A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140303"/>
        <c:axId val="1133125903"/>
      </c:lineChart>
      <c:catAx>
        <c:axId val="11331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25903"/>
        <c:crosses val="autoZero"/>
        <c:auto val="1"/>
        <c:lblAlgn val="ctr"/>
        <c:lblOffset val="100"/>
        <c:noMultiLvlLbl val="0"/>
      </c:catAx>
      <c:valAx>
        <c:axId val="11331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140970</xdr:rowOff>
    </xdr:from>
    <xdr:to>
      <xdr:col>11</xdr:col>
      <xdr:colOff>601980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7298B-5A56-6453-727A-A7AA0685F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13</xdr:col>
      <xdr:colOff>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B1E4F-B373-43FC-2C70-C4E1225CB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148590</xdr:rowOff>
    </xdr:from>
    <xdr:to>
      <xdr:col>10</xdr:col>
      <xdr:colOff>304800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3EC7D-973F-A0CE-2CBE-7A4D91A46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</xdr:row>
      <xdr:rowOff>41910</xdr:rowOff>
    </xdr:from>
    <xdr:to>
      <xdr:col>10</xdr:col>
      <xdr:colOff>350520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F8494-3598-FFD8-AF6E-D27C98A8D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701040</xdr:colOff>
      <xdr:row>2</xdr:row>
      <xdr:rowOff>11430</xdr:rowOff>
    </xdr:from>
    <xdr:to>
      <xdr:col>13</xdr:col>
      <xdr:colOff>15240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DF869-8965-3E9D-100B-B15F6FA92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5.439062384263" createdVersion="8" refreshedVersion="8" minRefreshableVersion="3" recordCount="10" xr:uid="{5A0B2F62-A63A-458B-83E4-3576C29EDF75}">
  <cacheSource type="worksheet">
    <worksheetSource ref="A1:I11" sheet="Dataset"/>
  </cacheSource>
  <cacheFields count="9">
    <cacheField name="UserID" numFmtId="0">
      <sharedItems containsSemiMixedTypes="0" containsString="0" containsNumber="1" containsInteger="1" minValue="2001" maxValue="2010" count="10">
        <n v="2001"/>
        <n v="2002"/>
        <n v="2003"/>
        <n v="2004"/>
        <n v="2005"/>
        <n v="2006"/>
        <n v="2007"/>
        <n v="2008"/>
        <n v="2009"/>
        <n v="2010"/>
      </sharedItems>
    </cacheField>
    <cacheField name="JoinDate" numFmtId="14">
      <sharedItems containsSemiMixedTypes="0" containsNonDate="0" containsDate="1" containsString="0" minDate="2026-03-01T00:00:00" maxDate="2026-03-11T00:00:00" count="10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</sharedItems>
    </cacheField>
    <cacheField name="Country" numFmtId="0">
      <sharedItems count="3">
        <s v="India"/>
        <s v="USA"/>
        <s v="UK"/>
      </sharedItems>
    </cacheField>
    <cacheField name="SubscriptionType" numFmtId="0">
      <sharedItems count="3">
        <s v="Basic"/>
        <s v="Premium"/>
        <s v="Standard"/>
      </sharedItems>
    </cacheField>
    <cacheField name="MonthlyFee" numFmtId="0">
      <sharedItems containsSemiMixedTypes="0" containsString="0" containsNumber="1" containsInteger="1" minValue="199" maxValue="799"/>
    </cacheField>
    <cacheField name="WatchHours" numFmtId="0">
      <sharedItems containsSemiMixedTypes="0" containsString="0" containsNumber="1" containsInteger="1" minValue="8" maxValue="45"/>
    </cacheField>
    <cacheField name="DevicesUsed" numFmtId="0">
      <sharedItems containsSemiMixedTypes="0" containsString="0" containsNumber="1" containsInteger="1" minValue="1" maxValue="4"/>
    </cacheField>
    <cacheField name="Churned" numFmtId="0">
      <sharedItems count="2">
        <s v="No"/>
        <s v="Yes"/>
      </sharedItems>
    </cacheField>
    <cacheField name="MonthlyRevenue" numFmtId="0">
      <sharedItems containsSemiMixedTypes="0" containsString="0" containsNumber="1" containsInteger="1" minValue="199" maxValue="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99"/>
    <n v="12"/>
    <n v="1"/>
    <x v="0"/>
    <n v="199"/>
  </r>
  <r>
    <x v="1"/>
    <x v="1"/>
    <x v="1"/>
    <x v="1"/>
    <n v="799"/>
    <n v="35"/>
    <n v="3"/>
    <x v="0"/>
    <n v="799"/>
  </r>
  <r>
    <x v="2"/>
    <x v="2"/>
    <x v="0"/>
    <x v="2"/>
    <n v="499"/>
    <n v="20"/>
    <n v="2"/>
    <x v="1"/>
    <n v="499"/>
  </r>
  <r>
    <x v="3"/>
    <x v="3"/>
    <x v="2"/>
    <x v="1"/>
    <n v="799"/>
    <n v="40"/>
    <n v="4"/>
    <x v="0"/>
    <n v="799"/>
  </r>
  <r>
    <x v="4"/>
    <x v="4"/>
    <x v="0"/>
    <x v="0"/>
    <n v="199"/>
    <n v="10"/>
    <n v="1"/>
    <x v="1"/>
    <n v="199"/>
  </r>
  <r>
    <x v="5"/>
    <x v="5"/>
    <x v="1"/>
    <x v="2"/>
    <n v="499"/>
    <n v="25"/>
    <n v="2"/>
    <x v="0"/>
    <n v="499"/>
  </r>
  <r>
    <x v="6"/>
    <x v="6"/>
    <x v="2"/>
    <x v="0"/>
    <n v="199"/>
    <n v="8"/>
    <n v="1"/>
    <x v="1"/>
    <n v="199"/>
  </r>
  <r>
    <x v="7"/>
    <x v="7"/>
    <x v="0"/>
    <x v="1"/>
    <n v="799"/>
    <n v="45"/>
    <n v="3"/>
    <x v="0"/>
    <n v="799"/>
  </r>
  <r>
    <x v="8"/>
    <x v="8"/>
    <x v="1"/>
    <x v="0"/>
    <n v="199"/>
    <n v="15"/>
    <n v="1"/>
    <x v="0"/>
    <n v="199"/>
  </r>
  <r>
    <x v="9"/>
    <x v="9"/>
    <x v="2"/>
    <x v="2"/>
    <n v="499"/>
    <n v="22"/>
    <n v="2"/>
    <x v="1"/>
    <n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6BA50-C5DF-4B84-AB4B-EABFDDE0EE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scriptionType">
  <location ref="A3:B7" firstHeaderRow="1" firstDataRow="1" firstDataCol="1"/>
  <pivotFields count="9">
    <pivotField showAll="0"/>
    <pivotField numFmtId="14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MonthlyRevenue" fld="8" baseField="3" baseItem="0" numFmtId="164"/>
  </dataFields>
  <formats count="8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A2C2D-C2FA-4EAF-8529-081C914086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ntry">
  <location ref="A3:B7" firstHeaderRow="1" firstDataRow="1" firstDataCol="1"/>
  <pivotFields count="9"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WatchHours" fld="5" subtotal="average" baseField="2" baseItem="0" numFmtId="2"/>
  </dataFields>
  <formats count="8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07821-2F74-43D3-B0D6-BC2FC040F3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A3:B7" firstHeaderRow="1" firstDataRow="1" firstDataCol="1"/>
  <pivotFields count="9"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Revenue" fld="8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DABD2-E526-443A-888E-4E82E2D01F6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ubscriptionType">
  <location ref="A3:B7" firstHeaderRow="1" firstDataRow="1" firstDataCol="1"/>
  <pivotFields count="9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ed" fld="7" subtotal="count" baseField="0" baseItem="0"/>
  </dataFields>
  <formats count="8"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90F7B-B7D5-4113-B0DC-C2C1B0A8A96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inDate">
  <location ref="A3:B14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onthlyRevenue" fld="8" baseField="0" baseItem="0" numFmtId="164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A64E-4C75-456A-92D7-6263F2C29420}">
  <dimension ref="A3:B10"/>
  <sheetViews>
    <sheetView workbookViewId="0">
      <selection activeCell="N17" sqref="N17"/>
    </sheetView>
  </sheetViews>
  <sheetFormatPr defaultRowHeight="14.4" x14ac:dyDescent="0.3"/>
  <cols>
    <col min="1" max="1" width="28.33203125" style="5" bestFit="1" customWidth="1"/>
    <col min="2" max="2" width="22.33203125" style="13" bestFit="1" customWidth="1"/>
    <col min="3" max="16384" width="8.88671875" style="5"/>
  </cols>
  <sheetData>
    <row r="3" spans="1:2" x14ac:dyDescent="0.3">
      <c r="A3" s="7" t="s">
        <v>3</v>
      </c>
      <c r="B3" s="13" t="s">
        <v>18</v>
      </c>
    </row>
    <row r="4" spans="1:2" x14ac:dyDescent="0.3">
      <c r="A4" s="5" t="s">
        <v>12</v>
      </c>
      <c r="B4" s="13">
        <v>2397</v>
      </c>
    </row>
    <row r="5" spans="1:2" x14ac:dyDescent="0.3">
      <c r="A5" s="5" t="s">
        <v>13</v>
      </c>
      <c r="B5" s="13">
        <v>1497</v>
      </c>
    </row>
    <row r="6" spans="1:2" x14ac:dyDescent="0.3">
      <c r="A6" s="5" t="s">
        <v>9</v>
      </c>
      <c r="B6" s="13">
        <v>796</v>
      </c>
    </row>
    <row r="7" spans="1:2" x14ac:dyDescent="0.3">
      <c r="A7" s="5" t="s">
        <v>17</v>
      </c>
      <c r="B7" s="13">
        <v>4690</v>
      </c>
    </row>
    <row r="10" spans="1:2" x14ac:dyDescent="0.3">
      <c r="A10" s="8" t="s">
        <v>19</v>
      </c>
      <c r="B10" s="8" t="str">
        <f>_xlfn.XLOOKUP(MAX(B4:B6),B4:B6,A4:A6,,0)</f>
        <v>Premium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A3F2-4167-4299-9DF4-617BEBBC6176}">
  <dimension ref="A3:B10"/>
  <sheetViews>
    <sheetView workbookViewId="0">
      <selection activeCell="L24" sqref="L24"/>
    </sheetView>
  </sheetViews>
  <sheetFormatPr defaultRowHeight="14.4" x14ac:dyDescent="0.3"/>
  <cols>
    <col min="1" max="1" width="36.33203125" style="5" bestFit="1" customWidth="1"/>
    <col min="2" max="2" width="17.44140625" style="9" bestFit="1" customWidth="1"/>
    <col min="3" max="16384" width="8.88671875" style="5"/>
  </cols>
  <sheetData>
    <row r="3" spans="1:2" x14ac:dyDescent="0.3">
      <c r="A3" s="7" t="s">
        <v>2</v>
      </c>
      <c r="B3" s="9" t="s">
        <v>20</v>
      </c>
    </row>
    <row r="4" spans="1:2" x14ac:dyDescent="0.3">
      <c r="A4" s="5" t="s">
        <v>8</v>
      </c>
      <c r="B4" s="9">
        <v>21.75</v>
      </c>
    </row>
    <row r="5" spans="1:2" x14ac:dyDescent="0.3">
      <c r="A5" s="5" t="s">
        <v>15</v>
      </c>
      <c r="B5" s="9">
        <v>23.333333333333332</v>
      </c>
    </row>
    <row r="6" spans="1:2" x14ac:dyDescent="0.3">
      <c r="A6" s="5" t="s">
        <v>11</v>
      </c>
      <c r="B6" s="9">
        <v>25</v>
      </c>
    </row>
    <row r="7" spans="1:2" x14ac:dyDescent="0.3">
      <c r="A7" s="5" t="s">
        <v>17</v>
      </c>
      <c r="B7" s="9">
        <v>23.2</v>
      </c>
    </row>
    <row r="10" spans="1:2" x14ac:dyDescent="0.3">
      <c r="A10" s="8" t="s">
        <v>21</v>
      </c>
      <c r="B10" s="10" t="str">
        <f>_xlfn.XLOOKUP(MIN(B4:B6),B4:B6,A4:A6,,0)</f>
        <v>India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3DA9-ECE7-4396-93CB-349D3D81B7E7}">
  <dimension ref="A3:B10"/>
  <sheetViews>
    <sheetView workbookViewId="0">
      <selection activeCell="J22" sqref="J22"/>
    </sheetView>
  </sheetViews>
  <sheetFormatPr defaultRowHeight="14.4" x14ac:dyDescent="0.3"/>
  <cols>
    <col min="1" max="1" width="30.109375" style="5" bestFit="1" customWidth="1"/>
    <col min="2" max="2" width="22.33203125" style="5" bestFit="1" customWidth="1"/>
    <col min="3" max="16384" width="8.88671875" style="5"/>
  </cols>
  <sheetData>
    <row r="3" spans="1:2" x14ac:dyDescent="0.3">
      <c r="A3" s="7" t="s">
        <v>2</v>
      </c>
      <c r="B3" s="5" t="s">
        <v>18</v>
      </c>
    </row>
    <row r="4" spans="1:2" x14ac:dyDescent="0.3">
      <c r="A4" s="5" t="s">
        <v>8</v>
      </c>
      <c r="B4" s="5">
        <v>1696</v>
      </c>
    </row>
    <row r="5" spans="1:2" x14ac:dyDescent="0.3">
      <c r="A5" s="5" t="s">
        <v>15</v>
      </c>
      <c r="B5" s="5">
        <v>1497</v>
      </c>
    </row>
    <row r="6" spans="1:2" x14ac:dyDescent="0.3">
      <c r="A6" s="5" t="s">
        <v>11</v>
      </c>
      <c r="B6" s="5">
        <v>1497</v>
      </c>
    </row>
    <row r="7" spans="1:2" x14ac:dyDescent="0.3">
      <c r="A7" s="5" t="s">
        <v>17</v>
      </c>
      <c r="B7" s="5">
        <v>4690</v>
      </c>
    </row>
    <row r="10" spans="1:2" x14ac:dyDescent="0.3">
      <c r="A10" s="8" t="s">
        <v>24</v>
      </c>
      <c r="B10" s="8" t="str">
        <f>_xlfn.XLOOKUP(MAX(B4:B6),B4:B6,A4:A6,,0)</f>
        <v>India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F41D-F726-4565-9727-A5A9EC537C48}">
  <dimension ref="A3:B10"/>
  <sheetViews>
    <sheetView workbookViewId="0">
      <selection activeCell="I22" sqref="I22"/>
    </sheetView>
  </sheetViews>
  <sheetFormatPr defaultRowHeight="14.4" x14ac:dyDescent="0.3"/>
  <cols>
    <col min="1" max="1" width="39.5546875" style="5" bestFit="1" customWidth="1"/>
    <col min="2" max="2" width="17" style="5" bestFit="1" customWidth="1"/>
    <col min="3" max="16384" width="8.88671875" style="5"/>
  </cols>
  <sheetData>
    <row r="3" spans="1:2" x14ac:dyDescent="0.3">
      <c r="A3" s="7" t="s">
        <v>3</v>
      </c>
      <c r="B3" s="5" t="s">
        <v>22</v>
      </c>
    </row>
    <row r="4" spans="1:2" x14ac:dyDescent="0.3">
      <c r="A4" s="5" t="s">
        <v>9</v>
      </c>
      <c r="B4" s="5">
        <v>4</v>
      </c>
    </row>
    <row r="5" spans="1:2" x14ac:dyDescent="0.3">
      <c r="A5" s="5" t="s">
        <v>12</v>
      </c>
      <c r="B5" s="5">
        <v>3</v>
      </c>
    </row>
    <row r="6" spans="1:2" x14ac:dyDescent="0.3">
      <c r="A6" s="5" t="s">
        <v>13</v>
      </c>
      <c r="B6" s="5">
        <v>3</v>
      </c>
    </row>
    <row r="7" spans="1:2" x14ac:dyDescent="0.3">
      <c r="A7" s="5" t="s">
        <v>17</v>
      </c>
      <c r="B7" s="5">
        <v>10</v>
      </c>
    </row>
    <row r="10" spans="1:2" x14ac:dyDescent="0.3">
      <c r="A10" s="8" t="s">
        <v>23</v>
      </c>
      <c r="B10" s="8" t="str" cm="1">
        <f t="array" ref="B10">_xlfn.TEXTJOIN(",",TRUE,_xlfn._xlws.FILTER(A4:A6,B4:B6=MIN(B4:B6)))</f>
        <v>Premium,Standard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A92D-7432-482E-A093-E0C87F1AA4EA}">
  <dimension ref="A3:B17"/>
  <sheetViews>
    <sheetView workbookViewId="0">
      <selection activeCell="O7" sqref="O7"/>
    </sheetView>
  </sheetViews>
  <sheetFormatPr defaultRowHeight="14.4" x14ac:dyDescent="0.3"/>
  <cols>
    <col min="1" max="1" width="34.6640625" style="6" bestFit="1" customWidth="1"/>
    <col min="2" max="2" width="30.44140625" style="13" bestFit="1" customWidth="1"/>
    <col min="3" max="11" width="10.33203125" style="5" bestFit="1" customWidth="1"/>
    <col min="12" max="12" width="10.77734375" style="5" bestFit="1" customWidth="1"/>
    <col min="13" max="16384" width="8.88671875" style="5"/>
  </cols>
  <sheetData>
    <row r="3" spans="1:2" x14ac:dyDescent="0.3">
      <c r="A3" s="14" t="s">
        <v>1</v>
      </c>
      <c r="B3" s="13" t="s">
        <v>18</v>
      </c>
    </row>
    <row r="4" spans="1:2" x14ac:dyDescent="0.3">
      <c r="A4" s="6">
        <v>46082</v>
      </c>
      <c r="B4" s="13">
        <v>199</v>
      </c>
    </row>
    <row r="5" spans="1:2" x14ac:dyDescent="0.3">
      <c r="A5" s="6">
        <v>46083</v>
      </c>
      <c r="B5" s="13">
        <v>799</v>
      </c>
    </row>
    <row r="6" spans="1:2" x14ac:dyDescent="0.3">
      <c r="A6" s="6">
        <v>46084</v>
      </c>
      <c r="B6" s="13">
        <v>499</v>
      </c>
    </row>
    <row r="7" spans="1:2" x14ac:dyDescent="0.3">
      <c r="A7" s="6">
        <v>46085</v>
      </c>
      <c r="B7" s="13">
        <v>799</v>
      </c>
    </row>
    <row r="8" spans="1:2" x14ac:dyDescent="0.3">
      <c r="A8" s="6">
        <v>46086</v>
      </c>
      <c r="B8" s="13">
        <v>199</v>
      </c>
    </row>
    <row r="9" spans="1:2" x14ac:dyDescent="0.3">
      <c r="A9" s="6">
        <v>46087</v>
      </c>
      <c r="B9" s="13">
        <v>499</v>
      </c>
    </row>
    <row r="10" spans="1:2" x14ac:dyDescent="0.3">
      <c r="A10" s="6">
        <v>46088</v>
      </c>
      <c r="B10" s="13">
        <v>199</v>
      </c>
    </row>
    <row r="11" spans="1:2" x14ac:dyDescent="0.3">
      <c r="A11" s="6">
        <v>46089</v>
      </c>
      <c r="B11" s="13">
        <v>799</v>
      </c>
    </row>
    <row r="12" spans="1:2" x14ac:dyDescent="0.3">
      <c r="A12" s="6">
        <v>46090</v>
      </c>
      <c r="B12" s="13">
        <v>199</v>
      </c>
    </row>
    <row r="13" spans="1:2" x14ac:dyDescent="0.3">
      <c r="A13" s="6">
        <v>46091</v>
      </c>
      <c r="B13" s="13">
        <v>499</v>
      </c>
    </row>
    <row r="14" spans="1:2" x14ac:dyDescent="0.3">
      <c r="A14" s="6" t="s">
        <v>17</v>
      </c>
      <c r="B14" s="13">
        <v>4690</v>
      </c>
    </row>
    <row r="17" spans="1:2" x14ac:dyDescent="0.3">
      <c r="A17" s="5" t="s">
        <v>25</v>
      </c>
      <c r="B17" s="6" t="str" cm="1">
        <f t="array" ref="B17">_xlfn.TEXTJOIN(",",TRUE,TEXT(_xlfn._xlws.FILTER(A4:A13,B4:B13=MAX(B4:B13)),"dd-mm-yyyy"))</f>
        <v>02-03-2026,04-03-2026,08-03-2026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4543-3124-4C77-8989-19FC867D77E6}">
  <dimension ref="A1:I11"/>
  <sheetViews>
    <sheetView tabSelected="1" workbookViewId="0">
      <selection activeCell="M16" sqref="M16"/>
    </sheetView>
  </sheetViews>
  <sheetFormatPr defaultRowHeight="14.4" x14ac:dyDescent="0.3"/>
  <cols>
    <col min="1" max="1" width="6.5546875" style="5" bestFit="1" customWidth="1"/>
    <col min="2" max="2" width="10.33203125" style="6" bestFit="1" customWidth="1"/>
    <col min="3" max="3" width="7.77734375" style="5" bestFit="1" customWidth="1"/>
    <col min="4" max="4" width="15.6640625" style="5" bestFit="1" customWidth="1"/>
    <col min="5" max="5" width="11.109375" style="13" bestFit="1" customWidth="1"/>
    <col min="6" max="6" width="11.33203125" style="5" bestFit="1" customWidth="1"/>
    <col min="7" max="7" width="11.5546875" style="5" bestFit="1" customWidth="1"/>
    <col min="8" max="8" width="8.21875" style="9" bestFit="1" customWidth="1"/>
    <col min="9" max="9" width="15.6640625" style="13" bestFit="1" customWidth="1"/>
    <col min="10" max="16384" width="8.88671875" style="5"/>
  </cols>
  <sheetData>
    <row r="1" spans="1:9" x14ac:dyDescent="0.3">
      <c r="A1" s="1" t="s">
        <v>0</v>
      </c>
      <c r="B1" s="4" t="s">
        <v>1</v>
      </c>
      <c r="C1" s="1" t="s">
        <v>2</v>
      </c>
      <c r="D1" s="1" t="s">
        <v>3</v>
      </c>
      <c r="E1" s="11" t="s">
        <v>4</v>
      </c>
      <c r="F1" s="1" t="s">
        <v>5</v>
      </c>
      <c r="G1" s="1" t="s">
        <v>6</v>
      </c>
      <c r="H1" s="15" t="s">
        <v>7</v>
      </c>
      <c r="I1" s="11" t="s">
        <v>16</v>
      </c>
    </row>
    <row r="2" spans="1:9" x14ac:dyDescent="0.3">
      <c r="A2" s="2">
        <v>2001</v>
      </c>
      <c r="B2" s="3">
        <v>46082</v>
      </c>
      <c r="C2" s="2" t="s">
        <v>8</v>
      </c>
      <c r="D2" s="2" t="s">
        <v>9</v>
      </c>
      <c r="E2" s="12">
        <v>199</v>
      </c>
      <c r="F2" s="2">
        <v>12</v>
      </c>
      <c r="G2" s="2">
        <v>1</v>
      </c>
      <c r="H2" s="16" t="s">
        <v>10</v>
      </c>
      <c r="I2" s="13">
        <f>E2</f>
        <v>199</v>
      </c>
    </row>
    <row r="3" spans="1:9" x14ac:dyDescent="0.3">
      <c r="A3" s="2">
        <v>2002</v>
      </c>
      <c r="B3" s="3">
        <v>46083</v>
      </c>
      <c r="C3" s="2" t="s">
        <v>11</v>
      </c>
      <c r="D3" s="2" t="s">
        <v>12</v>
      </c>
      <c r="E3" s="12">
        <v>799</v>
      </c>
      <c r="F3" s="2">
        <v>35</v>
      </c>
      <c r="G3" s="2">
        <v>3</v>
      </c>
      <c r="H3" s="16" t="s">
        <v>10</v>
      </c>
      <c r="I3" s="13">
        <f t="shared" ref="I3:I11" si="0">E3</f>
        <v>799</v>
      </c>
    </row>
    <row r="4" spans="1:9" x14ac:dyDescent="0.3">
      <c r="A4" s="2">
        <v>2003</v>
      </c>
      <c r="B4" s="3">
        <v>46084</v>
      </c>
      <c r="C4" s="2" t="s">
        <v>8</v>
      </c>
      <c r="D4" s="2" t="s">
        <v>13</v>
      </c>
      <c r="E4" s="12">
        <v>499</v>
      </c>
      <c r="F4" s="2">
        <v>20</v>
      </c>
      <c r="G4" s="2">
        <v>2</v>
      </c>
      <c r="H4" s="16" t="s">
        <v>14</v>
      </c>
      <c r="I4" s="13">
        <f t="shared" si="0"/>
        <v>499</v>
      </c>
    </row>
    <row r="5" spans="1:9" x14ac:dyDescent="0.3">
      <c r="A5" s="2">
        <v>2004</v>
      </c>
      <c r="B5" s="3">
        <v>46085</v>
      </c>
      <c r="C5" s="2" t="s">
        <v>15</v>
      </c>
      <c r="D5" s="2" t="s">
        <v>12</v>
      </c>
      <c r="E5" s="12">
        <v>799</v>
      </c>
      <c r="F5" s="2">
        <v>40</v>
      </c>
      <c r="G5" s="2">
        <v>4</v>
      </c>
      <c r="H5" s="16" t="s">
        <v>10</v>
      </c>
      <c r="I5" s="13">
        <f t="shared" si="0"/>
        <v>799</v>
      </c>
    </row>
    <row r="6" spans="1:9" x14ac:dyDescent="0.3">
      <c r="A6" s="2">
        <v>2005</v>
      </c>
      <c r="B6" s="3">
        <v>46086</v>
      </c>
      <c r="C6" s="2" t="s">
        <v>8</v>
      </c>
      <c r="D6" s="2" t="s">
        <v>9</v>
      </c>
      <c r="E6" s="12">
        <v>199</v>
      </c>
      <c r="F6" s="2">
        <v>10</v>
      </c>
      <c r="G6" s="2">
        <v>1</v>
      </c>
      <c r="H6" s="16" t="s">
        <v>14</v>
      </c>
      <c r="I6" s="13">
        <f t="shared" si="0"/>
        <v>199</v>
      </c>
    </row>
    <row r="7" spans="1:9" x14ac:dyDescent="0.3">
      <c r="A7" s="2">
        <v>2006</v>
      </c>
      <c r="B7" s="3">
        <v>46087</v>
      </c>
      <c r="C7" s="2" t="s">
        <v>11</v>
      </c>
      <c r="D7" s="2" t="s">
        <v>13</v>
      </c>
      <c r="E7" s="12">
        <v>499</v>
      </c>
      <c r="F7" s="2">
        <v>25</v>
      </c>
      <c r="G7" s="2">
        <v>2</v>
      </c>
      <c r="H7" s="16" t="s">
        <v>10</v>
      </c>
      <c r="I7" s="13">
        <f t="shared" si="0"/>
        <v>499</v>
      </c>
    </row>
    <row r="8" spans="1:9" x14ac:dyDescent="0.3">
      <c r="A8" s="2">
        <v>2007</v>
      </c>
      <c r="B8" s="3">
        <v>46088</v>
      </c>
      <c r="C8" s="2" t="s">
        <v>15</v>
      </c>
      <c r="D8" s="2" t="s">
        <v>9</v>
      </c>
      <c r="E8" s="12">
        <v>199</v>
      </c>
      <c r="F8" s="2">
        <v>8</v>
      </c>
      <c r="G8" s="2">
        <v>1</v>
      </c>
      <c r="H8" s="16" t="s">
        <v>14</v>
      </c>
      <c r="I8" s="13">
        <f t="shared" si="0"/>
        <v>199</v>
      </c>
    </row>
    <row r="9" spans="1:9" x14ac:dyDescent="0.3">
      <c r="A9" s="2">
        <v>2008</v>
      </c>
      <c r="B9" s="3">
        <v>46089</v>
      </c>
      <c r="C9" s="2" t="s">
        <v>8</v>
      </c>
      <c r="D9" s="2" t="s">
        <v>12</v>
      </c>
      <c r="E9" s="12">
        <v>799</v>
      </c>
      <c r="F9" s="2">
        <v>45</v>
      </c>
      <c r="G9" s="2">
        <v>3</v>
      </c>
      <c r="H9" s="16" t="s">
        <v>10</v>
      </c>
      <c r="I9" s="13">
        <f t="shared" si="0"/>
        <v>799</v>
      </c>
    </row>
    <row r="10" spans="1:9" x14ac:dyDescent="0.3">
      <c r="A10" s="2">
        <v>2009</v>
      </c>
      <c r="B10" s="3">
        <v>46090</v>
      </c>
      <c r="C10" s="2" t="s">
        <v>11</v>
      </c>
      <c r="D10" s="2" t="s">
        <v>9</v>
      </c>
      <c r="E10" s="12">
        <v>199</v>
      </c>
      <c r="F10" s="2">
        <v>15</v>
      </c>
      <c r="G10" s="2">
        <v>1</v>
      </c>
      <c r="H10" s="16" t="s">
        <v>10</v>
      </c>
      <c r="I10" s="13">
        <f t="shared" si="0"/>
        <v>199</v>
      </c>
    </row>
    <row r="11" spans="1:9" x14ac:dyDescent="0.3">
      <c r="A11" s="2">
        <v>2010</v>
      </c>
      <c r="B11" s="3">
        <v>46091</v>
      </c>
      <c r="C11" s="2" t="s">
        <v>15</v>
      </c>
      <c r="D11" s="2" t="s">
        <v>13</v>
      </c>
      <c r="E11" s="12">
        <v>499</v>
      </c>
      <c r="F11" s="2">
        <v>22</v>
      </c>
      <c r="G11" s="2">
        <v>2</v>
      </c>
      <c r="H11" s="16" t="s">
        <v>14</v>
      </c>
      <c r="I11" s="13">
        <f t="shared" si="0"/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SubscriptionType</vt:lpstr>
      <vt:lpstr>Avg WatchHours by Country</vt:lpstr>
      <vt:lpstr>Revenue by Country</vt:lpstr>
      <vt:lpstr>Churn Count by SubscriptionType</vt:lpstr>
      <vt:lpstr>Revenue by JoinDate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2026-04-13T04:53:00Z</dcterms:created>
  <dcterms:modified xsi:type="dcterms:W3CDTF">2026-04-13T07:31:46Z</dcterms:modified>
</cp:coreProperties>
</file>