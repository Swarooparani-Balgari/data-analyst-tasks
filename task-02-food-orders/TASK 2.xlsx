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2\"/>
    </mc:Choice>
  </mc:AlternateContent>
  <xr:revisionPtr revIDLastSave="0" documentId="13_ncr:1_{00C0C3D9-3668-4D20-850C-A3B67B800EDC}" xr6:coauthVersionLast="47" xr6:coauthVersionMax="47" xr10:uidLastSave="{00000000-0000-0000-0000-000000000000}"/>
  <bookViews>
    <workbookView xWindow="-108" yWindow="-108" windowWidth="23256" windowHeight="12456" xr2:uid="{07F8FC06-5B6B-4137-BF92-1F4DC71E7749}"/>
  </bookViews>
  <sheets>
    <sheet name="Revenue by Restaurant" sheetId="3" r:id="rId1"/>
    <sheet name="Average delivery time by city" sheetId="4" r:id="rId2"/>
    <sheet name="Revenue by City" sheetId="2" r:id="rId3"/>
    <sheet name="Avg Customer rating by City" sheetId="5" r:id="rId4"/>
    <sheet name="Customer Rating by Restaurant" sheetId="6" r:id="rId5"/>
    <sheet name="Revenue by Payment Method" sheetId="7" r:id="rId6"/>
    <sheet name="Revenue by OrderDate" sheetId="8" r:id="rId7"/>
    <sheet name="Dataset" sheetId="1" r:id="rId8"/>
  </sheet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8" l="1"/>
  <c r="B10" i="7"/>
  <c r="B11" i="6"/>
  <c r="B11" i="5"/>
  <c r="B11" i="4"/>
  <c r="B11" i="3"/>
  <c r="B11" i="2"/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<sst xmlns="http://schemas.openxmlformats.org/spreadsheetml/2006/main" count="91" uniqueCount="34">
  <si>
    <t>OrderID</t>
  </si>
  <si>
    <t>OrderDate</t>
  </si>
  <si>
    <t>City</t>
  </si>
  <si>
    <t>Restaurant</t>
  </si>
  <si>
    <t>OrderValue</t>
  </si>
  <si>
    <t>DeliveryTime_min</t>
  </si>
  <si>
    <t>Discount</t>
  </si>
  <si>
    <t>PaymentMethod</t>
  </si>
  <si>
    <t>CustomerRating</t>
  </si>
  <si>
    <t>Delhi</t>
  </si>
  <si>
    <t>Spice Hub</t>
  </si>
  <si>
    <t>UPI</t>
  </si>
  <si>
    <t>Mumbai</t>
  </si>
  <si>
    <t>Burger Town</t>
  </si>
  <si>
    <t>Card</t>
  </si>
  <si>
    <t>Bangalore</t>
  </si>
  <si>
    <t>Pizza Point</t>
  </si>
  <si>
    <t>Cash</t>
  </si>
  <si>
    <t>Hyderabad</t>
  </si>
  <si>
    <t>Biryani House</t>
  </si>
  <si>
    <t>NetRevenue</t>
  </si>
  <si>
    <t>Grand Total</t>
  </si>
  <si>
    <t>Sum of NetRevenue</t>
  </si>
  <si>
    <t>City which has highest revenue</t>
  </si>
  <si>
    <t>Restaurant which has highest revenue</t>
  </si>
  <si>
    <t>City which has lowest average delivery time</t>
  </si>
  <si>
    <t>Avg of DeliveryTime_min</t>
  </si>
  <si>
    <t>Avg of CustomerRating</t>
  </si>
  <si>
    <t>Lowest avg customer rating by City</t>
  </si>
  <si>
    <t xml:space="preserve"> CustomerRating</t>
  </si>
  <si>
    <t>Restaurant which most people liked</t>
  </si>
  <si>
    <t>Payment Method</t>
  </si>
  <si>
    <t>Payment Method which has lowest usage</t>
  </si>
  <si>
    <t>Date which has highest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</si>
</sst>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Restaurant!PivotTable2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>
              <a:alpha val="7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C00000">
              <a:alpha val="6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C00000">
              <a:alpha val="40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'Revenue by Restaurant'!$B$3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00000">
                  <a:alpha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62-4563-829C-EB12A619B96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62-4563-829C-EB12A619B96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62-4563-829C-EB12A619B960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62-4563-829C-EB12A619B960}"/>
              </c:ext>
            </c:extLst>
          </c:dPt>
          <c:cat>
            <c:strRef>
              <c:f>'Revenue by Restaurant'!$A$4:$A$8</c:f>
              <c:strCache>
                <c:ptCount val="4"/>
                <c:pt idx="0">
                  <c:v>Biryani House</c:v>
                </c:pt>
                <c:pt idx="1">
                  <c:v>Burger Town</c:v>
                </c:pt>
                <c:pt idx="2">
                  <c:v>Pizza Point</c:v>
                </c:pt>
                <c:pt idx="3">
                  <c:v>Spice Hub</c:v>
                </c:pt>
              </c:strCache>
            </c:strRef>
          </c:cat>
          <c:val>
            <c:numRef>
              <c:f>'Revenue by Restaurant'!$B$4:$B$8</c:f>
              <c:numCache>
                <c:formatCode>"₹"\ #,##0.00</c:formatCode>
                <c:ptCount val="4"/>
                <c:pt idx="0">
                  <c:v>900</c:v>
                </c:pt>
                <c:pt idx="1">
                  <c:v>915</c:v>
                </c:pt>
                <c:pt idx="2">
                  <c:v>1110</c:v>
                </c:pt>
                <c:pt idx="3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2-4563-829C-EB12A619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308064"/>
        <c:axId val="1069305184"/>
      </c:barChart>
      <c:catAx>
        <c:axId val="106930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05184"/>
        <c:crosses val="autoZero"/>
        <c:auto val="1"/>
        <c:lblAlgn val="ctr"/>
        <c:lblOffset val="100"/>
        <c:noMultiLvlLbl val="0"/>
      </c:catAx>
      <c:valAx>
        <c:axId val="106930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0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2.xlsx]Average delivery time by city!PivotTable3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time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50000"/>
              <a:alpha val="8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50000"/>
              <a:alpha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  <a:alpha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'Average delivery time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A8E-4F0D-9C63-C3C4337D7D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50000"/>
                  <a:alpha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8E-4F0D-9C63-C3C4337D7D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  <a:alpha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A8E-4F0D-9C63-C3C4337D7D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  <a:alpha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8E-4F0D-9C63-C3C4337D7D2F}"/>
              </c:ext>
            </c:extLst>
          </c:dPt>
          <c:cat>
            <c:strRef>
              <c:f>'Average delivery time by city'!$A$4:$A$8</c:f>
              <c:strCache>
                <c:ptCount val="4"/>
                <c:pt idx="0">
                  <c:v>Hyderabad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'Average delivery time by city'!$B$4:$B$8</c:f>
              <c:numCache>
                <c:formatCode>0.00</c:formatCode>
                <c:ptCount val="4"/>
                <c:pt idx="0">
                  <c:v>41.5</c:v>
                </c:pt>
                <c:pt idx="1">
                  <c:v>41</c:v>
                </c:pt>
                <c:pt idx="2">
                  <c:v>34.333333333333336</c:v>
                </c:pt>
                <c:pt idx="3">
                  <c:v>26.666666666666668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4F0D-9C63-C3C4337D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964144"/>
        <c:axId val="902964624"/>
      </c:barChart>
      <c:catAx>
        <c:axId val="90296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64624"/>
        <c:crosses val="autoZero"/>
        <c:auto val="1"/>
        <c:lblAlgn val="ctr"/>
        <c:lblOffset val="100"/>
        <c:noMultiLvlLbl val="0"/>
      </c:catAx>
      <c:valAx>
        <c:axId val="9029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6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  <a:alpha val="85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>
              <a:lumMod val="50000"/>
              <a:alpha val="7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>
              <a:lumMod val="50000"/>
              <a:alpha val="50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787-4C8B-A52E-BA23C0693DB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  <a:alpha val="8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787-4C8B-A52E-BA23C0693D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  <a:alpha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787-4C8B-A52E-BA23C0693DB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  <a:alpha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787-4C8B-A52E-BA23C0693DBD}"/>
              </c:ext>
            </c:extLst>
          </c:dPt>
          <c:cat>
            <c:strRef>
              <c:f>'Revenue by City'!$A$4:$A$8</c:f>
              <c:strCache>
                <c:ptCount val="4"/>
                <c:pt idx="0">
                  <c:v>Delhi</c:v>
                </c:pt>
                <c:pt idx="1">
                  <c:v>Bangalore</c:v>
                </c:pt>
                <c:pt idx="2">
                  <c:v>Mumbai</c:v>
                </c:pt>
                <c:pt idx="3">
                  <c:v>Hyderabad</c:v>
                </c:pt>
              </c:strCache>
            </c:strRef>
          </c:cat>
          <c:val>
            <c:numRef>
              <c:f>'Revenue by City'!$B$4:$B$8</c:f>
              <c:numCache>
                <c:formatCode>"₹"\ #,##0.00</c:formatCode>
                <c:ptCount val="4"/>
                <c:pt idx="0">
                  <c:v>1225</c:v>
                </c:pt>
                <c:pt idx="1">
                  <c:v>1110</c:v>
                </c:pt>
                <c:pt idx="2">
                  <c:v>915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7-4C8B-A52E-BA23C069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cylinder"/>
        <c:axId val="1069274464"/>
        <c:axId val="1069277824"/>
        <c:axId val="0"/>
      </c:bar3DChart>
      <c:catAx>
        <c:axId val="10692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77824"/>
        <c:crosses val="autoZero"/>
        <c:auto val="1"/>
        <c:lblAlgn val="ctr"/>
        <c:lblOffset val="100"/>
        <c:noMultiLvlLbl val="0"/>
      </c:catAx>
      <c:valAx>
        <c:axId val="10692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7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2.xlsx]Avg Customer rating by 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Customer rating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  <a:alpha val="8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>
              <a:lumMod val="50000"/>
              <a:alpha val="6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>
              <a:lumMod val="50000"/>
              <a:alpha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'Avg Customer rating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  <a:alpha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FC59-41AD-821C-2FE47756E7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  <a:alpha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C59-41AD-821C-2FE47756E7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  <a:alpha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FC59-41AD-821C-2FE47756E7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'Avg Customer rating by City'!$A$4:$A$8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Hyderabad</c:v>
                </c:pt>
                <c:pt idx="3">
                  <c:v>Bangalore</c:v>
                </c:pt>
              </c:strCache>
            </c:strRef>
          </c:cat>
          <c:val>
            <c:numRef>
              <c:f>'Avg Customer rating by City'!$B$4:$B$8</c:f>
              <c:numCache>
                <c:formatCode>0.00</c:formatCode>
                <c:ptCount val="4"/>
                <c:pt idx="0">
                  <c:v>4.0999999999999996</c:v>
                </c:pt>
                <c:pt idx="1">
                  <c:v>4.4666666666666668</c:v>
                </c:pt>
                <c:pt idx="2">
                  <c:v>4.5</c:v>
                </c:pt>
                <c:pt idx="3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9-41AD-821C-2FE47756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77444672"/>
        <c:axId val="1377450432"/>
        <c:axId val="0"/>
      </c:bar3DChart>
      <c:catAx>
        <c:axId val="137744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50432"/>
        <c:crosses val="autoZero"/>
        <c:auto val="1"/>
        <c:lblAlgn val="ctr"/>
        <c:lblOffset val="100"/>
        <c:noMultiLvlLbl val="0"/>
      </c:catAx>
      <c:valAx>
        <c:axId val="13774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4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  <a:alpha val="4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2.xlsx]Customer Rating by Restaurant!PivotTable5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Rating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Rating by Restaurant'!$B$3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EA9-4E7B-8CA1-10DAA2B5B51A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EA9-4E7B-8CA1-10DAA2B5B51A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EA9-4E7B-8CA1-10DAA2B5B51A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AEA9-4E7B-8CA1-10DAA2B5B51A}"/>
              </c:ext>
            </c:extLst>
          </c:dPt>
          <c:cat>
            <c:strRef>
              <c:f>'Customer Rating by Restaurant'!$A$4:$A$8</c:f>
              <c:strCache>
                <c:ptCount val="4"/>
                <c:pt idx="0">
                  <c:v>Spice Hub</c:v>
                </c:pt>
                <c:pt idx="1">
                  <c:v>Burger Town</c:v>
                </c:pt>
                <c:pt idx="2">
                  <c:v>Pizza Point</c:v>
                </c:pt>
                <c:pt idx="3">
                  <c:v>Biryani House</c:v>
                </c:pt>
              </c:strCache>
            </c:strRef>
          </c:cat>
          <c:val>
            <c:numRef>
              <c:f>'Customer Rating by Restaurant'!$B$4:$B$8</c:f>
              <c:numCache>
                <c:formatCode>General</c:formatCode>
                <c:ptCount val="4"/>
                <c:pt idx="0">
                  <c:v>13.4</c:v>
                </c:pt>
                <c:pt idx="1">
                  <c:v>12.299999999999999</c:v>
                </c:pt>
                <c:pt idx="2">
                  <c:v>9.5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9-4E7B-8CA1-10DAA2B5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Payment Method!PivotTable6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'Revenue by 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B0-4B0C-B67B-571F892E6D2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0-4B0C-B67B-571F892E6D27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7B0-4B0C-B67B-571F892E6D27}"/>
              </c:ext>
            </c:extLst>
          </c:dPt>
          <c:cat>
            <c:strRef>
              <c:f>'Revenue by Payment Method'!$A$4:$A$7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'Revenue by Payment Method'!$B$4:$B$7</c:f>
              <c:numCache>
                <c:formatCode>"₹"\ #,##0.00</c:formatCode>
                <c:ptCount val="3"/>
                <c:pt idx="0">
                  <c:v>2315</c:v>
                </c:pt>
                <c:pt idx="1">
                  <c:v>1055</c:v>
                </c:pt>
                <c:pt idx="2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0-4B0C-B67B-571F892E6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  <a:alpha val="7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OrderDate!PivotTable7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OrderDate'!$B$3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OrderDate'!$A$4:$A$9</c:f>
              <c:strCache>
                <c:ptCount val="5"/>
                <c:pt idx="0">
                  <c:v>06-04-2026</c:v>
                </c:pt>
                <c:pt idx="1">
                  <c:v>07-04-2026</c:v>
                </c:pt>
                <c:pt idx="2">
                  <c:v>08-04-2026</c:v>
                </c:pt>
                <c:pt idx="3">
                  <c:v>09-04-2026</c:v>
                </c:pt>
                <c:pt idx="4">
                  <c:v>10-04-2026</c:v>
                </c:pt>
              </c:strCache>
            </c:strRef>
          </c:cat>
          <c:val>
            <c:numRef>
              <c:f>'Revenue by OrderDate'!$B$4:$B$9</c:f>
              <c:numCache>
                <c:formatCode>"₹"\ #,##0.00</c:formatCode>
                <c:ptCount val="5"/>
                <c:pt idx="0">
                  <c:v>710</c:v>
                </c:pt>
                <c:pt idx="1">
                  <c:v>890</c:v>
                </c:pt>
                <c:pt idx="2">
                  <c:v>760</c:v>
                </c:pt>
                <c:pt idx="3">
                  <c:v>1000</c:v>
                </c:pt>
                <c:pt idx="4">
                  <c:v>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5-405A-AEAB-D0A279BC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482592"/>
        <c:axId val="1377487872"/>
      </c:lineChart>
      <c:catAx>
        <c:axId val="13774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87872"/>
        <c:crosses val="autoZero"/>
        <c:auto val="1"/>
        <c:lblAlgn val="ctr"/>
        <c:lblOffset val="100"/>
        <c:noMultiLvlLbl val="0"/>
      </c:catAx>
      <c:valAx>
        <c:axId val="13774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4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163830</xdr:rowOff>
    </xdr:from>
    <xdr:to>
      <xdr:col>14</xdr:col>
      <xdr:colOff>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23F21-011E-F120-9758-B4443F832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133350</xdr:rowOff>
    </xdr:from>
    <xdr:to>
      <xdr:col>12</xdr:col>
      <xdr:colOff>594360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4EE5E-C88A-9FFA-1F69-63C02B807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14</xdr:col>
      <xdr:colOff>7620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28831-8D4D-4C84-0706-0341C0753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95250</xdr:rowOff>
    </xdr:from>
    <xdr:to>
      <xdr:col>13</xdr:col>
      <xdr:colOff>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D78B3-810A-0D77-088F-C6FD06B35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11</xdr:col>
      <xdr:colOff>480060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B59FA-3366-3EF3-F4DA-065BE8808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3810</xdr:rowOff>
    </xdr:from>
    <xdr:to>
      <xdr:col>11</xdr:col>
      <xdr:colOff>15240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17D2B-5D8F-0D81-2828-A671595F1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14</xdr:col>
      <xdr:colOff>7620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FC1C8-43DF-9613-17AE-32CF43B6C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2.675074652776" createdVersion="8" refreshedVersion="8" minRefreshableVersion="3" recordCount="10" xr:uid="{2141416E-1103-4ECA-B3E4-2367B10A0840}">
  <cacheSource type="worksheet">
    <worksheetSource ref="A1:J11" sheet="Dataset"/>
  </cacheSource>
  <cacheFields count="10">
    <cacheField name="OrderID" numFmtId="0">
      <sharedItems containsSemiMixedTypes="0" containsString="0" containsNumber="1" containsInteger="1" minValue="9001" maxValue="9010"/>
    </cacheField>
    <cacheField name="OrderDate" numFmtId="14">
      <sharedItems containsSemiMixedTypes="0" containsNonDate="0" containsDate="1" containsString="0" minDate="2026-04-06T00:00:00" maxDate="2026-04-11T00:00:00" count="5">
        <d v="2026-04-06T00:00:00"/>
        <d v="2026-04-07T00:00:00"/>
        <d v="2026-04-08T00:00:00"/>
        <d v="2026-04-09T00:00:00"/>
        <d v="2026-04-10T00:00:00"/>
      </sharedItems>
    </cacheField>
    <cacheField name="City" numFmtId="0">
      <sharedItems count="4">
        <s v="Delhi"/>
        <s v="Mumbai"/>
        <s v="Bangalore"/>
        <s v="Hyderabad"/>
      </sharedItems>
    </cacheField>
    <cacheField name="Restaurant" numFmtId="0">
      <sharedItems count="4">
        <s v="Spice Hub"/>
        <s v="Burger Town"/>
        <s v="Pizza Point"/>
        <s v="Biryani House"/>
      </sharedItems>
    </cacheField>
    <cacheField name="OrderValue" numFmtId="168">
      <sharedItems containsSemiMixedTypes="0" containsString="0" containsNumber="1" containsInteger="1" minValue="290" maxValue="640"/>
    </cacheField>
    <cacheField name="DeliveryTime_min" numFmtId="0">
      <sharedItems containsSemiMixedTypes="0" containsString="0" containsNumber="1" containsInteger="1" minValue="25" maxValue="45"/>
    </cacheField>
    <cacheField name="Discount" numFmtId="168">
      <sharedItems containsSemiMixedTypes="0" containsString="0" containsNumber="1" containsInteger="1" minValue="0" maxValue="70"/>
    </cacheField>
    <cacheField name="PaymentMethod" numFmtId="0">
      <sharedItems count="3">
        <s v="UPI"/>
        <s v="Card"/>
        <s v="Cash"/>
      </sharedItems>
    </cacheField>
    <cacheField name="CustomerRating" numFmtId="0">
      <sharedItems containsSemiMixedTypes="0" containsString="0" containsNumber="1" minValue="4" maxValue="4.8"/>
    </cacheField>
    <cacheField name="NetRevenue" numFmtId="168">
      <sharedItems containsSemiMixedTypes="0" containsString="0" containsNumber="1" containsInteger="1" minValue="290" maxValue="5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9001"/>
    <x v="0"/>
    <x v="0"/>
    <x v="0"/>
    <n v="450"/>
    <n v="32"/>
    <n v="40"/>
    <x v="0"/>
    <n v="4.5"/>
    <n v="410"/>
  </r>
  <r>
    <n v="9002"/>
    <x v="0"/>
    <x v="1"/>
    <x v="1"/>
    <n v="320"/>
    <n v="28"/>
    <n v="20"/>
    <x v="1"/>
    <n v="4.2"/>
    <n v="300"/>
  </r>
  <r>
    <n v="9003"/>
    <x v="1"/>
    <x v="2"/>
    <x v="2"/>
    <n v="600"/>
    <n v="40"/>
    <n v="60"/>
    <x v="0"/>
    <n v="4.7"/>
    <n v="540"/>
  </r>
  <r>
    <n v="9004"/>
    <x v="1"/>
    <x v="0"/>
    <x v="0"/>
    <n v="380"/>
    <n v="35"/>
    <n v="30"/>
    <x v="2"/>
    <n v="4.3"/>
    <n v="350"/>
  </r>
  <r>
    <n v="9005"/>
    <x v="2"/>
    <x v="3"/>
    <x v="3"/>
    <n v="520"/>
    <n v="45"/>
    <n v="50"/>
    <x v="0"/>
    <n v="4.5999999999999996"/>
    <n v="470"/>
  </r>
  <r>
    <n v="9006"/>
    <x v="2"/>
    <x v="1"/>
    <x v="1"/>
    <n v="290"/>
    <n v="25"/>
    <n v="0"/>
    <x v="1"/>
    <n v="4"/>
    <n v="290"/>
  </r>
  <r>
    <n v="9007"/>
    <x v="3"/>
    <x v="2"/>
    <x v="2"/>
    <n v="640"/>
    <n v="42"/>
    <n v="70"/>
    <x v="0"/>
    <n v="4.8"/>
    <n v="570"/>
  </r>
  <r>
    <n v="9008"/>
    <x v="3"/>
    <x v="3"/>
    <x v="3"/>
    <n v="470"/>
    <n v="38"/>
    <n v="40"/>
    <x v="2"/>
    <n v="4.4000000000000004"/>
    <n v="430"/>
  </r>
  <r>
    <n v="9009"/>
    <x v="4"/>
    <x v="0"/>
    <x v="0"/>
    <n v="510"/>
    <n v="36"/>
    <n v="45"/>
    <x v="1"/>
    <n v="4.5999999999999996"/>
    <n v="465"/>
  </r>
  <r>
    <n v="9010"/>
    <x v="4"/>
    <x v="1"/>
    <x v="1"/>
    <n v="350"/>
    <n v="27"/>
    <n v="25"/>
    <x v="0"/>
    <n v="4.0999999999999996"/>
    <n v="3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4F4DE-BF09-45D5-B93B-7C5C3CF0192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staurant">
  <location ref="A3:B8" firstHeaderRow="1" firstDataRow="1" firstDataCol="1"/>
  <pivotFields count="10">
    <pivotField showAll="0"/>
    <pivotField numFmtId="14"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68" showAll="0"/>
    <pivotField showAll="0"/>
    <pivotField numFmtId="168" showAll="0"/>
    <pivotField showAll="0"/>
    <pivotField showAll="0"/>
    <pivotField dataField="1" numFmtId="168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Revenue" fld="9" baseField="0" baseItem="0" numFmtId="168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372B-3F2D-4FBF-B26D-190F0B9C4DA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10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8" showAll="0"/>
    <pivotField dataField="1" showAll="0"/>
    <pivotField numFmtId="168" showAll="0"/>
    <pivotField showAll="0"/>
    <pivotField showAll="0"/>
    <pivotField numFmtId="168" showAll="0"/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Avg of DeliveryTime_min" fld="5" subtotal="average" baseField="2" baseItem="2" numFmtId="2"/>
  </dataFields>
  <formats count="8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A61F9-971E-4A81-A269-089309F9123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8" firstHeaderRow="1" firstDataRow="1" firstDataCol="1"/>
  <pivotFields count="10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8" showAll="0"/>
    <pivotField showAll="0"/>
    <pivotField numFmtId="168" showAll="0"/>
    <pivotField showAll="0"/>
    <pivotField showAll="0"/>
    <pivotField dataField="1" numFmtId="168" showAll="0"/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NetRevenue" fld="9" baseField="0" baseItem="0" numFmtId="168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4514B-188B-4E4E-82A1-9DB1ABC96C52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8" firstHeaderRow="1" firstDataRow="1" firstDataCol="1"/>
  <pivotFields count="10">
    <pivotField showAll="0"/>
    <pivotField numFmtId="14" showAll="0"/>
    <pivotField axis="axisRow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8" showAll="0"/>
    <pivotField showAll="0"/>
    <pivotField numFmtId="168" showAll="0"/>
    <pivotField showAll="0"/>
    <pivotField dataField="1" showAll="0"/>
    <pivotField numFmtId="168"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Avg of CustomerRating" fld="8" subtotal="average" baseField="2" baseItem="0" numFmtId="2"/>
  </dataFields>
  <formats count="9">
    <format dxfId="26">
      <pivotArea dataOnly="0" outline="0" axis="axisValues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12832-FE1D-425D-9A08-284A85BC03B4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staurant">
  <location ref="A3:B8" firstHeaderRow="1" firstDataRow="1" firstDataCol="1"/>
  <pivotFields count="10">
    <pivotField showAll="0"/>
    <pivotField numFmtId="14"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8" showAll="0"/>
    <pivotField showAll="0"/>
    <pivotField numFmtId="168" showAll="0"/>
    <pivotField showAll="0"/>
    <pivotField dataField="1" showAll="0"/>
    <pivotField numFmtId="168" showAll="0"/>
  </pivotFields>
  <rowFields count="1">
    <field x="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 CustomerRating" fld="8" baseField="3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4EE22-7DA3-46DF-B393-234016A03FB1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ethod">
  <location ref="A3:B7" firstHeaderRow="1" firstDataRow="1" firstDataCol="1"/>
  <pivotFields count="10">
    <pivotField showAll="0"/>
    <pivotField numFmtId="14" showAll="0"/>
    <pivotField showAll="0"/>
    <pivotField showAll="0"/>
    <pivotField numFmtId="168" showAll="0"/>
    <pivotField showAll="0"/>
    <pivotField numFmtId="168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8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NetRevenue" fld="9" baseField="0" baseItem="0" numFmtId="168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30AAF-1B88-46A8-8654-28A01B50E62B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Date">
  <location ref="A3:B9" firstHeaderRow="1" firstDataRow="1" firstDataCol="1"/>
  <pivotFields count="10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8" showAll="0"/>
    <pivotField showAll="0"/>
    <pivotField numFmtId="168" showAll="0"/>
    <pivotField showAll="0"/>
    <pivotField showAll="0"/>
    <pivotField dataField="1" numFmtId="168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Revenue" fld="9" baseField="0" baseItem="0" numFmtId="168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3849-B961-4754-9B84-86A3D4513803}">
  <dimension ref="A3:B11"/>
  <sheetViews>
    <sheetView tabSelected="1" workbookViewId="0">
      <selection activeCell="A20" sqref="A20"/>
    </sheetView>
  </sheetViews>
  <sheetFormatPr defaultRowHeight="14.4" x14ac:dyDescent="0.3"/>
  <cols>
    <col min="1" max="1" width="32.109375" style="8" bestFit="1" customWidth="1"/>
    <col min="2" max="2" width="18" style="8" bestFit="1" customWidth="1"/>
    <col min="3" max="16384" width="8.88671875" style="8"/>
  </cols>
  <sheetData>
    <row r="3" spans="1:2" x14ac:dyDescent="0.3">
      <c r="A3" s="15" t="s">
        <v>3</v>
      </c>
      <c r="B3" s="8" t="s">
        <v>22</v>
      </c>
    </row>
    <row r="4" spans="1:2" x14ac:dyDescent="0.3">
      <c r="A4" s="8" t="s">
        <v>19</v>
      </c>
      <c r="B4" s="9">
        <v>900</v>
      </c>
    </row>
    <row r="5" spans="1:2" x14ac:dyDescent="0.3">
      <c r="A5" s="8" t="s">
        <v>13</v>
      </c>
      <c r="B5" s="9">
        <v>915</v>
      </c>
    </row>
    <row r="6" spans="1:2" x14ac:dyDescent="0.3">
      <c r="A6" s="8" t="s">
        <v>16</v>
      </c>
      <c r="B6" s="9">
        <v>1110</v>
      </c>
    </row>
    <row r="7" spans="1:2" x14ac:dyDescent="0.3">
      <c r="A7" s="8" t="s">
        <v>10</v>
      </c>
      <c r="B7" s="9">
        <v>1225</v>
      </c>
    </row>
    <row r="8" spans="1:2" x14ac:dyDescent="0.3">
      <c r="A8" s="8" t="s">
        <v>21</v>
      </c>
      <c r="B8" s="9">
        <v>4150</v>
      </c>
    </row>
    <row r="11" spans="1:2" x14ac:dyDescent="0.3">
      <c r="A11" s="7" t="s">
        <v>24</v>
      </c>
      <c r="B11" s="7" t="str">
        <f>_xlfn.XLOOKUP(MAX(B4:B7),B4:B7,A4:A7,,0)</f>
        <v>Spice Hub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6F71-6EC6-4EB4-BD37-5A7B06B83E97}">
  <dimension ref="A3:B11"/>
  <sheetViews>
    <sheetView workbookViewId="0">
      <selection activeCell="B23" sqref="B23"/>
    </sheetView>
  </sheetViews>
  <sheetFormatPr defaultRowHeight="14.4" x14ac:dyDescent="0.3"/>
  <cols>
    <col min="1" max="1" width="36.88671875" style="8" bestFit="1" customWidth="1"/>
    <col min="2" max="2" width="22.33203125" style="11" bestFit="1" customWidth="1"/>
    <col min="3" max="16384" width="8.88671875" style="8"/>
  </cols>
  <sheetData>
    <row r="3" spans="1:2" x14ac:dyDescent="0.3">
      <c r="A3" s="15" t="s">
        <v>2</v>
      </c>
      <c r="B3" s="11" t="s">
        <v>26</v>
      </c>
    </row>
    <row r="4" spans="1:2" x14ac:dyDescent="0.3">
      <c r="A4" s="8" t="s">
        <v>18</v>
      </c>
      <c r="B4" s="11">
        <v>41.5</v>
      </c>
    </row>
    <row r="5" spans="1:2" x14ac:dyDescent="0.3">
      <c r="A5" s="8" t="s">
        <v>15</v>
      </c>
      <c r="B5" s="11">
        <v>41</v>
      </c>
    </row>
    <row r="6" spans="1:2" x14ac:dyDescent="0.3">
      <c r="A6" s="8" t="s">
        <v>9</v>
      </c>
      <c r="B6" s="11">
        <v>34.333333333333336</v>
      </c>
    </row>
    <row r="7" spans="1:2" x14ac:dyDescent="0.3">
      <c r="A7" s="8" t="s">
        <v>12</v>
      </c>
      <c r="B7" s="11">
        <v>26.666666666666668</v>
      </c>
    </row>
    <row r="8" spans="1:2" x14ac:dyDescent="0.3">
      <c r="A8" s="8" t="s">
        <v>21</v>
      </c>
      <c r="B8" s="11">
        <v>34.799999999999997</v>
      </c>
    </row>
    <row r="11" spans="1:2" x14ac:dyDescent="0.3">
      <c r="A11" s="7" t="s">
        <v>25</v>
      </c>
      <c r="B11" s="16" t="str">
        <f>_xlfn.XLOOKUP(MIN(B4:B7),B4:B7,A4:A7,,0)</f>
        <v>Mumbai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CEAC-31A2-456A-8661-989732E04CC3}">
  <dimension ref="A3:B11"/>
  <sheetViews>
    <sheetView workbookViewId="0">
      <selection activeCell="B24" sqref="B24"/>
    </sheetView>
  </sheetViews>
  <sheetFormatPr defaultRowHeight="14.4" x14ac:dyDescent="0.3"/>
  <cols>
    <col min="1" max="1" width="27.33203125" style="8" bestFit="1" customWidth="1"/>
    <col min="2" max="2" width="18" style="8" bestFit="1" customWidth="1"/>
    <col min="3" max="16384" width="8.88671875" style="8"/>
  </cols>
  <sheetData>
    <row r="3" spans="1:2" x14ac:dyDescent="0.3">
      <c r="A3" s="15" t="s">
        <v>2</v>
      </c>
      <c r="B3" s="8" t="s">
        <v>22</v>
      </c>
    </row>
    <row r="4" spans="1:2" x14ac:dyDescent="0.3">
      <c r="A4" s="8" t="s">
        <v>9</v>
      </c>
      <c r="B4" s="9">
        <v>1225</v>
      </c>
    </row>
    <row r="5" spans="1:2" x14ac:dyDescent="0.3">
      <c r="A5" s="8" t="s">
        <v>15</v>
      </c>
      <c r="B5" s="9">
        <v>1110</v>
      </c>
    </row>
    <row r="6" spans="1:2" x14ac:dyDescent="0.3">
      <c r="A6" s="8" t="s">
        <v>12</v>
      </c>
      <c r="B6" s="9">
        <v>915</v>
      </c>
    </row>
    <row r="7" spans="1:2" x14ac:dyDescent="0.3">
      <c r="A7" s="8" t="s">
        <v>18</v>
      </c>
      <c r="B7" s="9">
        <v>900</v>
      </c>
    </row>
    <row r="8" spans="1:2" x14ac:dyDescent="0.3">
      <c r="A8" s="8" t="s">
        <v>21</v>
      </c>
      <c r="B8" s="9">
        <v>4150</v>
      </c>
    </row>
    <row r="11" spans="1:2" x14ac:dyDescent="0.3">
      <c r="A11" s="7" t="s">
        <v>23</v>
      </c>
      <c r="B11" s="7" t="str">
        <f>_xlfn.XLOOKUP(MAX(B4:B7),B4:B7,A4:A7,,0)</f>
        <v>Delhi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90CA-874C-4ADC-AD12-3B34F39B393A}">
  <dimension ref="A3:B11"/>
  <sheetViews>
    <sheetView workbookViewId="0">
      <selection activeCell="C25" sqref="C25"/>
    </sheetView>
  </sheetViews>
  <sheetFormatPr defaultRowHeight="14.4" x14ac:dyDescent="0.3"/>
  <cols>
    <col min="1" max="1" width="30.77734375" style="8" bestFit="1" customWidth="1"/>
    <col min="2" max="2" width="20.5546875" style="11" bestFit="1" customWidth="1"/>
    <col min="3" max="16384" width="8.88671875" style="8"/>
  </cols>
  <sheetData>
    <row r="3" spans="1:2" x14ac:dyDescent="0.3">
      <c r="A3" s="15" t="s">
        <v>2</v>
      </c>
      <c r="B3" s="11" t="s">
        <v>27</v>
      </c>
    </row>
    <row r="4" spans="1:2" x14ac:dyDescent="0.3">
      <c r="A4" s="8" t="s">
        <v>12</v>
      </c>
      <c r="B4" s="11">
        <v>4.0999999999999996</v>
      </c>
    </row>
    <row r="5" spans="1:2" x14ac:dyDescent="0.3">
      <c r="A5" s="8" t="s">
        <v>9</v>
      </c>
      <c r="B5" s="11">
        <v>4.4666666666666668</v>
      </c>
    </row>
    <row r="6" spans="1:2" x14ac:dyDescent="0.3">
      <c r="A6" s="8" t="s">
        <v>18</v>
      </c>
      <c r="B6" s="11">
        <v>4.5</v>
      </c>
    </row>
    <row r="7" spans="1:2" x14ac:dyDescent="0.3">
      <c r="A7" s="8" t="s">
        <v>15</v>
      </c>
      <c r="B7" s="11">
        <v>4.75</v>
      </c>
    </row>
    <row r="8" spans="1:2" x14ac:dyDescent="0.3">
      <c r="A8" s="8" t="s">
        <v>21</v>
      </c>
      <c r="B8" s="11">
        <v>4.42</v>
      </c>
    </row>
    <row r="11" spans="1:2" x14ac:dyDescent="0.3">
      <c r="A11" s="7" t="s">
        <v>28</v>
      </c>
      <c r="B11" s="16" t="str">
        <f>_xlfn.XLOOKUP(MIN(B4:B7),B4:B7,A4:A7,,0)</f>
        <v>Mumbai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E450-67AC-4EEE-B3A5-ED34F3371399}">
  <dimension ref="A3:B11"/>
  <sheetViews>
    <sheetView workbookViewId="0">
      <selection activeCell="E26" sqref="E26"/>
    </sheetView>
  </sheetViews>
  <sheetFormatPr defaultRowHeight="14.4" x14ac:dyDescent="0.3"/>
  <cols>
    <col min="1" max="1" width="30.44140625" style="8" bestFit="1" customWidth="1"/>
    <col min="2" max="2" width="15" style="8" bestFit="1" customWidth="1"/>
    <col min="3" max="16384" width="8.88671875" style="8"/>
  </cols>
  <sheetData>
    <row r="3" spans="1:2" x14ac:dyDescent="0.3">
      <c r="A3" s="15" t="s">
        <v>3</v>
      </c>
      <c r="B3" s="8" t="s">
        <v>29</v>
      </c>
    </row>
    <row r="4" spans="1:2" x14ac:dyDescent="0.3">
      <c r="A4" s="8" t="s">
        <v>10</v>
      </c>
      <c r="B4" s="14">
        <v>13.4</v>
      </c>
    </row>
    <row r="5" spans="1:2" x14ac:dyDescent="0.3">
      <c r="A5" s="8" t="s">
        <v>13</v>
      </c>
      <c r="B5" s="14">
        <v>12.299999999999999</v>
      </c>
    </row>
    <row r="6" spans="1:2" x14ac:dyDescent="0.3">
      <c r="A6" s="8" t="s">
        <v>16</v>
      </c>
      <c r="B6" s="14">
        <v>9.5</v>
      </c>
    </row>
    <row r="7" spans="1:2" x14ac:dyDescent="0.3">
      <c r="A7" s="8" t="s">
        <v>19</v>
      </c>
      <c r="B7" s="14">
        <v>9</v>
      </c>
    </row>
    <row r="8" spans="1:2" x14ac:dyDescent="0.3">
      <c r="A8" s="8" t="s">
        <v>21</v>
      </c>
      <c r="B8" s="14">
        <v>44.199999999999996</v>
      </c>
    </row>
    <row r="11" spans="1:2" x14ac:dyDescent="0.3">
      <c r="A11" s="7" t="s">
        <v>30</v>
      </c>
      <c r="B11" s="7" t="str">
        <f>_xlfn.XLOOKUP(MAX(B4:B7),B4:B7,A4:A7,,0)</f>
        <v>Spice Hub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DA64-E88A-431D-BEAD-3E182DD2239B}">
  <dimension ref="A3:B10"/>
  <sheetViews>
    <sheetView workbookViewId="0">
      <selection activeCell="M15" sqref="M15"/>
    </sheetView>
  </sheetViews>
  <sheetFormatPr defaultRowHeight="14.4" x14ac:dyDescent="0.3"/>
  <cols>
    <col min="1" max="1" width="35.109375" style="8" bestFit="1" customWidth="1"/>
    <col min="2" max="2" width="18" style="8" bestFit="1" customWidth="1"/>
    <col min="3" max="16384" width="8.88671875" style="8"/>
  </cols>
  <sheetData>
    <row r="3" spans="1:2" x14ac:dyDescent="0.3">
      <c r="A3" s="15" t="s">
        <v>31</v>
      </c>
      <c r="B3" s="8" t="s">
        <v>22</v>
      </c>
    </row>
    <row r="4" spans="1:2" x14ac:dyDescent="0.3">
      <c r="A4" s="8" t="s">
        <v>11</v>
      </c>
      <c r="B4" s="9">
        <v>2315</v>
      </c>
    </row>
    <row r="5" spans="1:2" x14ac:dyDescent="0.3">
      <c r="A5" s="8" t="s">
        <v>14</v>
      </c>
      <c r="B5" s="9">
        <v>1055</v>
      </c>
    </row>
    <row r="6" spans="1:2" x14ac:dyDescent="0.3">
      <c r="A6" s="8" t="s">
        <v>17</v>
      </c>
      <c r="B6" s="9">
        <v>780</v>
      </c>
    </row>
    <row r="7" spans="1:2" x14ac:dyDescent="0.3">
      <c r="A7" s="8" t="s">
        <v>21</v>
      </c>
      <c r="B7" s="9">
        <v>4150</v>
      </c>
    </row>
    <row r="10" spans="1:2" x14ac:dyDescent="0.3">
      <c r="A10" s="7" t="s">
        <v>32</v>
      </c>
      <c r="B10" s="7" t="str">
        <f>_xlfn.XLOOKUP(MIN(B4:B6),B4:B6,A4:A6,,0)</f>
        <v>Cash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3D94-798D-4E79-B4F1-FBF4DB845B0D}">
  <dimension ref="A3:B12"/>
  <sheetViews>
    <sheetView workbookViewId="0">
      <selection activeCell="G25" sqref="G25"/>
    </sheetView>
  </sheetViews>
  <sheetFormatPr defaultRowHeight="14.4" x14ac:dyDescent="0.3"/>
  <cols>
    <col min="1" max="1" width="27" style="8" bestFit="1" customWidth="1"/>
    <col min="2" max="2" width="18" style="8" bestFit="1" customWidth="1"/>
    <col min="3" max="16384" width="8.88671875" style="8"/>
  </cols>
  <sheetData>
    <row r="3" spans="1:2" x14ac:dyDescent="0.3">
      <c r="A3" s="15" t="s">
        <v>1</v>
      </c>
      <c r="B3" s="8" t="s">
        <v>22</v>
      </c>
    </row>
    <row r="4" spans="1:2" x14ac:dyDescent="0.3">
      <c r="A4" s="10">
        <v>46118</v>
      </c>
      <c r="B4" s="9">
        <v>710</v>
      </c>
    </row>
    <row r="5" spans="1:2" x14ac:dyDescent="0.3">
      <c r="A5" s="10">
        <v>46119</v>
      </c>
      <c r="B5" s="9">
        <v>890</v>
      </c>
    </row>
    <row r="6" spans="1:2" x14ac:dyDescent="0.3">
      <c r="A6" s="10">
        <v>46120</v>
      </c>
      <c r="B6" s="9">
        <v>760</v>
      </c>
    </row>
    <row r="7" spans="1:2" x14ac:dyDescent="0.3">
      <c r="A7" s="10">
        <v>46121</v>
      </c>
      <c r="B7" s="9">
        <v>1000</v>
      </c>
    </row>
    <row r="8" spans="1:2" x14ac:dyDescent="0.3">
      <c r="A8" s="10">
        <v>46122</v>
      </c>
      <c r="B8" s="9">
        <v>790</v>
      </c>
    </row>
    <row r="9" spans="1:2" x14ac:dyDescent="0.3">
      <c r="A9" s="10" t="s">
        <v>21</v>
      </c>
      <c r="B9" s="9">
        <v>4150</v>
      </c>
    </row>
    <row r="12" spans="1:2" x14ac:dyDescent="0.3">
      <c r="A12" s="7" t="s">
        <v>33</v>
      </c>
      <c r="B12" s="17">
        <f>_xlfn.XLOOKUP(MAX(B4:B8),B4:B8,A4:A8,,0)</f>
        <v>46121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BC1A-2AB3-4D25-8246-DD4EB3D82F98}">
  <dimension ref="A1:J11"/>
  <sheetViews>
    <sheetView workbookViewId="0">
      <selection activeCell="M14" sqref="M14"/>
    </sheetView>
  </sheetViews>
  <sheetFormatPr defaultRowHeight="14.4" x14ac:dyDescent="0.3"/>
  <cols>
    <col min="1" max="1" width="7.5546875" style="8" bestFit="1" customWidth="1"/>
    <col min="2" max="2" width="10.33203125" style="10" bestFit="1" customWidth="1"/>
    <col min="3" max="3" width="9.77734375" style="8" bestFit="1" customWidth="1"/>
    <col min="4" max="4" width="12.109375" style="8" bestFit="1" customWidth="1"/>
    <col min="5" max="5" width="10.5546875" style="9" bestFit="1" customWidth="1"/>
    <col min="6" max="6" width="16.21875" style="14" bestFit="1" customWidth="1"/>
    <col min="7" max="7" width="8.33203125" style="9" bestFit="1" customWidth="1"/>
    <col min="8" max="8" width="15.44140625" style="8" bestFit="1" customWidth="1"/>
    <col min="9" max="9" width="14.5546875" style="8" bestFit="1" customWidth="1"/>
    <col min="10" max="10" width="11.33203125" style="8" bestFit="1" customWidth="1"/>
    <col min="11" max="16384" width="8.88671875" style="8"/>
  </cols>
  <sheetData>
    <row r="1" spans="1:10" x14ac:dyDescent="0.3">
      <c r="A1" s="1" t="s">
        <v>0</v>
      </c>
      <c r="B1" s="4" t="s">
        <v>1</v>
      </c>
      <c r="C1" s="1" t="s">
        <v>2</v>
      </c>
      <c r="D1" s="1" t="s">
        <v>3</v>
      </c>
      <c r="E1" s="5" t="s">
        <v>4</v>
      </c>
      <c r="F1" s="12" t="s">
        <v>5</v>
      </c>
      <c r="G1" s="5" t="s">
        <v>6</v>
      </c>
      <c r="H1" s="1" t="s">
        <v>7</v>
      </c>
      <c r="I1" s="1" t="s">
        <v>8</v>
      </c>
      <c r="J1" s="7" t="s">
        <v>20</v>
      </c>
    </row>
    <row r="2" spans="1:10" x14ac:dyDescent="0.3">
      <c r="A2" s="2">
        <v>9001</v>
      </c>
      <c r="B2" s="3">
        <v>46118</v>
      </c>
      <c r="C2" s="2" t="s">
        <v>9</v>
      </c>
      <c r="D2" s="2" t="s">
        <v>10</v>
      </c>
      <c r="E2" s="6">
        <v>450</v>
      </c>
      <c r="F2" s="13">
        <v>32</v>
      </c>
      <c r="G2" s="6">
        <v>40</v>
      </c>
      <c r="H2" s="2" t="s">
        <v>11</v>
      </c>
      <c r="I2" s="2">
        <v>4.5</v>
      </c>
      <c r="J2" s="9">
        <f>E2-G2</f>
        <v>410</v>
      </c>
    </row>
    <row r="3" spans="1:10" x14ac:dyDescent="0.3">
      <c r="A3" s="2">
        <v>9002</v>
      </c>
      <c r="B3" s="3">
        <v>46118</v>
      </c>
      <c r="C3" s="2" t="s">
        <v>12</v>
      </c>
      <c r="D3" s="2" t="s">
        <v>13</v>
      </c>
      <c r="E3" s="6">
        <v>320</v>
      </c>
      <c r="F3" s="13">
        <v>28</v>
      </c>
      <c r="G3" s="6">
        <v>20</v>
      </c>
      <c r="H3" s="2" t="s">
        <v>14</v>
      </c>
      <c r="I3" s="2">
        <v>4.2</v>
      </c>
      <c r="J3" s="9">
        <f t="shared" ref="J3:J11" si="0">E3-G3</f>
        <v>300</v>
      </c>
    </row>
    <row r="4" spans="1:10" x14ac:dyDescent="0.3">
      <c r="A4" s="2">
        <v>9003</v>
      </c>
      <c r="B4" s="3">
        <v>46119</v>
      </c>
      <c r="C4" s="2" t="s">
        <v>15</v>
      </c>
      <c r="D4" s="2" t="s">
        <v>16</v>
      </c>
      <c r="E4" s="6">
        <v>600</v>
      </c>
      <c r="F4" s="13">
        <v>40</v>
      </c>
      <c r="G4" s="6">
        <v>60</v>
      </c>
      <c r="H4" s="2" t="s">
        <v>11</v>
      </c>
      <c r="I4" s="2">
        <v>4.7</v>
      </c>
      <c r="J4" s="9">
        <f t="shared" si="0"/>
        <v>540</v>
      </c>
    </row>
    <row r="5" spans="1:10" x14ac:dyDescent="0.3">
      <c r="A5" s="2">
        <v>9004</v>
      </c>
      <c r="B5" s="3">
        <v>46119</v>
      </c>
      <c r="C5" s="2" t="s">
        <v>9</v>
      </c>
      <c r="D5" s="2" t="s">
        <v>10</v>
      </c>
      <c r="E5" s="6">
        <v>380</v>
      </c>
      <c r="F5" s="13">
        <v>35</v>
      </c>
      <c r="G5" s="6">
        <v>30</v>
      </c>
      <c r="H5" s="2" t="s">
        <v>17</v>
      </c>
      <c r="I5" s="2">
        <v>4.3</v>
      </c>
      <c r="J5" s="9">
        <f t="shared" si="0"/>
        <v>350</v>
      </c>
    </row>
    <row r="6" spans="1:10" x14ac:dyDescent="0.3">
      <c r="A6" s="2">
        <v>9005</v>
      </c>
      <c r="B6" s="3">
        <v>46120</v>
      </c>
      <c r="C6" s="2" t="s">
        <v>18</v>
      </c>
      <c r="D6" s="2" t="s">
        <v>19</v>
      </c>
      <c r="E6" s="6">
        <v>520</v>
      </c>
      <c r="F6" s="13">
        <v>45</v>
      </c>
      <c r="G6" s="6">
        <v>50</v>
      </c>
      <c r="H6" s="2" t="s">
        <v>11</v>
      </c>
      <c r="I6" s="2">
        <v>4.5999999999999996</v>
      </c>
      <c r="J6" s="9">
        <f t="shared" si="0"/>
        <v>470</v>
      </c>
    </row>
    <row r="7" spans="1:10" x14ac:dyDescent="0.3">
      <c r="A7" s="2">
        <v>9006</v>
      </c>
      <c r="B7" s="3">
        <v>46120</v>
      </c>
      <c r="C7" s="2" t="s">
        <v>12</v>
      </c>
      <c r="D7" s="2" t="s">
        <v>13</v>
      </c>
      <c r="E7" s="6">
        <v>290</v>
      </c>
      <c r="F7" s="13">
        <v>25</v>
      </c>
      <c r="G7" s="6">
        <v>0</v>
      </c>
      <c r="H7" s="2" t="s">
        <v>14</v>
      </c>
      <c r="I7" s="2">
        <v>4</v>
      </c>
      <c r="J7" s="9">
        <f t="shared" si="0"/>
        <v>290</v>
      </c>
    </row>
    <row r="8" spans="1:10" x14ac:dyDescent="0.3">
      <c r="A8" s="2">
        <v>9007</v>
      </c>
      <c r="B8" s="3">
        <v>46121</v>
      </c>
      <c r="C8" s="2" t="s">
        <v>15</v>
      </c>
      <c r="D8" s="2" t="s">
        <v>16</v>
      </c>
      <c r="E8" s="6">
        <v>640</v>
      </c>
      <c r="F8" s="13">
        <v>42</v>
      </c>
      <c r="G8" s="6">
        <v>70</v>
      </c>
      <c r="H8" s="2" t="s">
        <v>11</v>
      </c>
      <c r="I8" s="2">
        <v>4.8</v>
      </c>
      <c r="J8" s="9">
        <f t="shared" si="0"/>
        <v>570</v>
      </c>
    </row>
    <row r="9" spans="1:10" x14ac:dyDescent="0.3">
      <c r="A9" s="2">
        <v>9008</v>
      </c>
      <c r="B9" s="3">
        <v>46121</v>
      </c>
      <c r="C9" s="2" t="s">
        <v>18</v>
      </c>
      <c r="D9" s="2" t="s">
        <v>19</v>
      </c>
      <c r="E9" s="6">
        <v>470</v>
      </c>
      <c r="F9" s="13">
        <v>38</v>
      </c>
      <c r="G9" s="6">
        <v>40</v>
      </c>
      <c r="H9" s="2" t="s">
        <v>17</v>
      </c>
      <c r="I9" s="2">
        <v>4.4000000000000004</v>
      </c>
      <c r="J9" s="9">
        <f t="shared" si="0"/>
        <v>430</v>
      </c>
    </row>
    <row r="10" spans="1:10" x14ac:dyDescent="0.3">
      <c r="A10" s="2">
        <v>9009</v>
      </c>
      <c r="B10" s="3">
        <v>46122</v>
      </c>
      <c r="C10" s="2" t="s">
        <v>9</v>
      </c>
      <c r="D10" s="2" t="s">
        <v>10</v>
      </c>
      <c r="E10" s="6">
        <v>510</v>
      </c>
      <c r="F10" s="13">
        <v>36</v>
      </c>
      <c r="G10" s="6">
        <v>45</v>
      </c>
      <c r="H10" s="2" t="s">
        <v>14</v>
      </c>
      <c r="I10" s="2">
        <v>4.5999999999999996</v>
      </c>
      <c r="J10" s="9">
        <f t="shared" si="0"/>
        <v>465</v>
      </c>
    </row>
    <row r="11" spans="1:10" x14ac:dyDescent="0.3">
      <c r="A11" s="2">
        <v>9010</v>
      </c>
      <c r="B11" s="3">
        <v>46122</v>
      </c>
      <c r="C11" s="2" t="s">
        <v>12</v>
      </c>
      <c r="D11" s="2" t="s">
        <v>13</v>
      </c>
      <c r="E11" s="6">
        <v>350</v>
      </c>
      <c r="F11" s="13">
        <v>27</v>
      </c>
      <c r="G11" s="6">
        <v>25</v>
      </c>
      <c r="H11" s="2" t="s">
        <v>11</v>
      </c>
      <c r="I11" s="2">
        <v>4.0999999999999996</v>
      </c>
      <c r="J11" s="9">
        <f t="shared" si="0"/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Restaurant</vt:lpstr>
      <vt:lpstr>Average delivery time by city</vt:lpstr>
      <vt:lpstr>Revenue by City</vt:lpstr>
      <vt:lpstr>Avg Customer rating by City</vt:lpstr>
      <vt:lpstr>Customer Rating by Restaurant</vt:lpstr>
      <vt:lpstr>Revenue by Payment Method</vt:lpstr>
      <vt:lpstr>Revenue by OrderDate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2026-04-10T10:36:40Z</dcterms:created>
  <dcterms:modified xsi:type="dcterms:W3CDTF">2026-04-10T12:15:05Z</dcterms:modified>
</cp:coreProperties>
</file>