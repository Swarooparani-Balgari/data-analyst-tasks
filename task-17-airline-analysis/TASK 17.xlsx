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ebd91e607248c2/TASKS/TASK 17/"/>
    </mc:Choice>
  </mc:AlternateContent>
  <xr:revisionPtr revIDLastSave="3" documentId="8_{02EF1D0F-D75B-4E3B-B751-4F4713FB3A03}" xr6:coauthVersionLast="47" xr6:coauthVersionMax="47" xr10:uidLastSave="{B6DE47CA-84CA-400C-8772-EFDE8B50B2AF}"/>
  <bookViews>
    <workbookView xWindow="-108" yWindow="-108" windowWidth="23256" windowHeight="12456" firstSheet="2" activeTab="4" xr2:uid="{601A4101-2234-4E3A-B576-1DB3EF0D12C8}"/>
  </bookViews>
  <sheets>
    <sheet name="Avg Ticket Price by Route Type" sheetId="2" r:id="rId1"/>
    <sheet name="Avg_Passenger_Satisfaction by D" sheetId="3" r:id="rId2"/>
    <sheet name="Avg CompensationPaid by Ticket " sheetId="4" r:id="rId3"/>
    <sheet name="Avg Delay Minutes by Route Type" sheetId="5" r:id="rId4"/>
    <sheet name="Baggage Issue Distribution" sheetId="6" r:id="rId5"/>
    <sheet name="Dataset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6" l="1"/>
  <c r="B10" i="6"/>
  <c r="B14" i="5"/>
  <c r="B10" i="5"/>
  <c r="B14" i="4"/>
  <c r="B10" i="4"/>
  <c r="B15" i="3"/>
  <c r="B11" i="3"/>
  <c r="B14" i="2"/>
  <c r="B10" i="2"/>
  <c r="J10" i="1"/>
  <c r="J11" i="1"/>
  <c r="K3" i="1"/>
  <c r="K4" i="1"/>
  <c r="K5" i="1"/>
  <c r="K6" i="1"/>
  <c r="K7" i="1"/>
  <c r="K8" i="1"/>
  <c r="K9" i="1"/>
  <c r="K10" i="1"/>
  <c r="K11" i="1"/>
  <c r="K2" i="1"/>
  <c r="J6" i="1"/>
  <c r="J7" i="1"/>
  <c r="J8" i="1"/>
  <c r="J9" i="1"/>
  <c r="I3" i="1"/>
  <c r="I4" i="1"/>
  <c r="I5" i="1"/>
  <c r="I6" i="1"/>
  <c r="I7" i="1"/>
  <c r="I8" i="1"/>
  <c r="I9" i="1"/>
  <c r="I10" i="1"/>
  <c r="I11" i="1"/>
  <c r="I2" i="1"/>
  <c r="J5" i="1" l="1"/>
  <c r="J4" i="1"/>
  <c r="J3" i="1"/>
  <c r="J2" i="1"/>
</calcChain>
</file>

<file path=xl/sharedStrings.xml><?xml version="1.0" encoding="utf-8"?>
<sst xmlns="http://schemas.openxmlformats.org/spreadsheetml/2006/main" count="87" uniqueCount="49">
  <si>
    <t>Delay_Minutes</t>
  </si>
  <si>
    <t>A1001</t>
  </si>
  <si>
    <t>Domestic</t>
  </si>
  <si>
    <t>Yes</t>
  </si>
  <si>
    <t>No</t>
  </si>
  <si>
    <t>A1002</t>
  </si>
  <si>
    <t>International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</si>
  <si>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</si>
  <si>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</si>
  <si>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</si>
  <si>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</si>
  <si>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</si>
  <si>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</si>
  <si>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</si>
  <si>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</si>
  <si>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Grand Total</t>
  </si>
  <si>
    <t>Avg of TicketPrice</t>
  </si>
  <si>
    <t>Flight_ID</t>
  </si>
  <si>
    <t>Route_Type</t>
  </si>
  <si>
    <t>Ticket_Price</t>
  </si>
  <si>
    <t>Passenger_Satisfaction</t>
  </si>
  <si>
    <t>Compensation_Paid</t>
  </si>
  <si>
    <t>Baggage_Issues</t>
  </si>
  <si>
    <t>Flight_Cancelled</t>
  </si>
  <si>
    <t>Cancellation_Flag</t>
  </si>
  <si>
    <t>Delay_Category</t>
  </si>
  <si>
    <t>Ticket_Segment</t>
  </si>
  <si>
    <t>Which route type has generating highest revenue</t>
  </si>
  <si>
    <t>What's the highest revenue</t>
  </si>
  <si>
    <t>Minor Delay</t>
  </si>
  <si>
    <t>Moderate Delay</t>
  </si>
  <si>
    <t>Severe Delay</t>
  </si>
  <si>
    <t>Avg of PassengerSatisfaction</t>
  </si>
  <si>
    <t>Which Delay Category has lowest PassengerSatisfaction</t>
  </si>
  <si>
    <t>What's the lowest Passenger Satisfaction</t>
  </si>
  <si>
    <t>Economy</t>
  </si>
  <si>
    <t>Premium</t>
  </si>
  <si>
    <t>Avg of CompensationPaid</t>
  </si>
  <si>
    <t>Ticket Segment</t>
  </si>
  <si>
    <t>Which Ticket Segment has lowest Compensation Paid</t>
  </si>
  <si>
    <t>What's the lowest compensation Paid</t>
  </si>
  <si>
    <t>Avg of Delay_Minutes</t>
  </si>
  <si>
    <t>Route Type</t>
  </si>
  <si>
    <t>Which Route Type is delaying more</t>
  </si>
  <si>
    <t>What's the highest Delaying time</t>
  </si>
  <si>
    <t>Avg of CancellationFlag</t>
  </si>
  <si>
    <t>Baggage Issues</t>
  </si>
  <si>
    <t>Does Baggage Issues impacted on Cancellation rate</t>
  </si>
  <si>
    <t>What's the highest Avg Cancellation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</si>
</sst>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39]* #,##0_ ;_ [$₹-439]* \-#,##0_ ;_ [$₹-439]* &quot;-&quot;_ ;_ @_ "/>
    <numFmt numFmtId="165" formatCode="0\ &quot;Min&quot;"/>
    <numFmt numFmtId="166" formatCode="_ [$₹-4009]\ * #,##0_ ;_ [$₹-4009]\ * \-#,##0_ ;_ [$₹-4009]\ * &quot;-&quot;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_ [$₹-4009]\ * #,##0_ ;_ [$₹-4009]\ * \-#,##0_ ;_ [$₹-4009]\ * &quot;-&quot;_ ;_ @_ "/>
    </dxf>
    <dxf>
      <numFmt numFmtId="166" formatCode="_ [$₹-4009]\ * #,##0_ ;_ [$₹-4009]\ * \-#,##0_ ;_ [$₹-4009]\ * &quot;-&quot;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 [$₹-439]* #,##0_ ;_ [$₹-439]* \-#,##0_ ;_ [$₹-439]* &quot;-&quot;_ ;_ @_ "/>
    </dxf>
    <dxf>
      <numFmt numFmtId="164" formatCode="_ [$₹-439]* #,##0_ ;_ [$₹-439]* \-#,##0_ ;_ [$₹-439]* &quot;-&quot;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17.xlsx]Avg Ticket Price by Route Type!PivotTable1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Ticket Price by Route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'Avg Ticket Price by Route Type'!$B$3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EFC-4DC2-9BC5-882BB533A38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FC-4DC2-9BC5-882BB533A38F}"/>
              </c:ext>
            </c:extLst>
          </c:dPt>
          <c:cat>
            <c:strRef>
              <c:f>'Avg Ticket Price by Route Type'!$A$4:$A$6</c:f>
              <c:strCache>
                <c:ptCount val="2"/>
                <c:pt idx="0">
                  <c:v>International</c:v>
                </c:pt>
                <c:pt idx="1">
                  <c:v>Domestic</c:v>
                </c:pt>
              </c:strCache>
            </c:strRef>
          </c:cat>
          <c:val>
            <c:numRef>
              <c:f>'Avg Ticket Price by Route Type'!$B$4:$B$6</c:f>
              <c:numCache>
                <c:formatCode>_ [$₹-439]* #,##0_ ;_ [$₹-439]* \-#,##0_ ;_ [$₹-439]* "-"_ ;_ @_ </c:formatCode>
                <c:ptCount val="2"/>
                <c:pt idx="0">
                  <c:v>48250</c:v>
                </c:pt>
                <c:pt idx="1">
                  <c:v>5966.666666666667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6-46A1-84AC-74002ED5E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570800"/>
        <c:axId val="1034573200"/>
      </c:barChart>
      <c:catAx>
        <c:axId val="103457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73200"/>
        <c:crosses val="autoZero"/>
        <c:auto val="1"/>
        <c:lblAlgn val="ctr"/>
        <c:lblOffset val="100"/>
        <c:noMultiLvlLbl val="0"/>
      </c:catAx>
      <c:valAx>
        <c:axId val="10345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39]* #,##0_ ;_ [$₹-439]* \-#,##0_ ;_ [$₹-439]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7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17.xlsx]Avg_Passenger_Satisfaction by 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Avg_Passenger_Satisfaction by Delay_Category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'Avg_Passenger_Satisfaction by 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18-487B-84A3-8D163013DDE6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18-487B-84A3-8D163013DDE6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18-487B-84A3-8D163013DDE6}"/>
              </c:ext>
            </c:extLst>
          </c:dPt>
          <c:cat>
            <c:strRef>
              <c:f>'Avg_Passenger_Satisfaction by D'!$A$4:$A$7</c:f>
              <c:strCache>
                <c:ptCount val="3"/>
                <c:pt idx="0">
                  <c:v>Minor Delay</c:v>
                </c:pt>
                <c:pt idx="1">
                  <c:v>Moderate Delay</c:v>
                </c:pt>
                <c:pt idx="2">
                  <c:v>Severe Delay</c:v>
                </c:pt>
              </c:strCache>
            </c:strRef>
          </c:cat>
          <c:val>
            <c:numRef>
              <c:f>'Avg_Passenger_Satisfaction by D'!$B$4:$B$7</c:f>
              <c:numCache>
                <c:formatCode>General</c:formatCode>
                <c:ptCount val="3"/>
                <c:pt idx="0">
                  <c:v>4.75</c:v>
                </c:pt>
                <c:pt idx="1">
                  <c:v>3.5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0-4893-939F-3828394AC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17.xlsx]Avg CompensationPaid by Ticket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CompensationPaid by Ticket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'Avg CompensationPaid by Ticket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E7-43EE-A70E-C91F1961BE0C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E7-43EE-A70E-C91F1961BE0C}"/>
              </c:ext>
            </c:extLst>
          </c:dPt>
          <c:cat>
            <c:strRef>
              <c:f>'Avg CompensationPaid by Ticket '!$A$4:$A$6</c:f>
              <c:strCache>
                <c:ptCount val="2"/>
                <c:pt idx="0">
                  <c:v>Economy</c:v>
                </c:pt>
                <c:pt idx="1">
                  <c:v>Premium</c:v>
                </c:pt>
              </c:strCache>
            </c:strRef>
          </c:cat>
          <c:val>
            <c:numRef>
              <c:f>'Avg CompensationPaid by Ticket '!$B$4:$B$6</c:f>
              <c:numCache>
                <c:formatCode>_ [$₹-4009]\ * #,##0_ ;_ [$₹-4009]\ * \-#,##0_ ;_ [$₹-4009]\ * "-"_ ;_ @_ </c:formatCode>
                <c:ptCount val="2"/>
                <c:pt idx="0">
                  <c:v>1783.3333333333333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65-45C6-8C09-5A88CA0ED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857104"/>
        <c:axId val="1128862864"/>
      </c:barChart>
      <c:catAx>
        <c:axId val="112885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62864"/>
        <c:crosses val="autoZero"/>
        <c:auto val="1"/>
        <c:lblAlgn val="ctr"/>
        <c:lblOffset val="100"/>
        <c:noMultiLvlLbl val="0"/>
      </c:catAx>
      <c:valAx>
        <c:axId val="11288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5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17.xlsx]Avg Delay Minutes by Route Type!PivotTable1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Delay Minutes by Route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'Avg Delay Minutes by Route Type'!$B$3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F5-47EB-AD64-0B4E4D3FEEF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2F5-47EB-AD64-0B4E4D3FEEF3}"/>
              </c:ext>
            </c:extLst>
          </c:dPt>
          <c:cat>
            <c:strRef>
              <c:f>'Avg Delay Minutes by Route Type'!$A$4:$A$6</c:f>
              <c:strCache>
                <c:ptCount val="2"/>
                <c:pt idx="0">
                  <c:v>International</c:v>
                </c:pt>
                <c:pt idx="1">
                  <c:v>Domestic</c:v>
                </c:pt>
              </c:strCache>
            </c:strRef>
          </c:cat>
          <c:val>
            <c:numRef>
              <c:f>'Avg Delay Minutes by Route Type'!$B$4:$B$6</c:f>
              <c:numCache>
                <c:formatCode>0</c:formatCode>
                <c:ptCount val="2"/>
                <c:pt idx="0">
                  <c:v>15.75</c:v>
                </c:pt>
                <c:pt idx="1">
                  <c:v>75.833333333333329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5-47EB-AD64-0B4E4D3FE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52344272"/>
        <c:axId val="852345232"/>
      </c:barChart>
      <c:catAx>
        <c:axId val="85234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45232"/>
        <c:crosses val="autoZero"/>
        <c:auto val="1"/>
        <c:lblAlgn val="ctr"/>
        <c:lblOffset val="100"/>
        <c:noMultiLvlLbl val="0"/>
      </c:catAx>
      <c:valAx>
        <c:axId val="852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4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17.xlsx]Baggage Issue Distribution!PivotTable2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Baggage Issue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'Baggage Issue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5-4594-8E67-06523895AD72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5-4594-8E67-06523895AD72}"/>
              </c:ext>
            </c:extLst>
          </c:dPt>
          <c:cat>
            <c:strRef>
              <c:f>'Baggage Issue Distribution'!$A$4:$A$6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'Baggage Issue Distribution'!$B$4:$B$6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5F-4843-838B-B239FBAD7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2</xdr:row>
      <xdr:rowOff>3810</xdr:rowOff>
    </xdr:from>
    <xdr:to>
      <xdr:col>11</xdr:col>
      <xdr:colOff>274320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A86A1-84D1-C6A2-BEF5-B932A6E7E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163830</xdr:rowOff>
    </xdr:from>
    <xdr:to>
      <xdr:col>10</xdr:col>
      <xdr:colOff>335280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D677B-FF97-358A-C3F5-BE736C88F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163830</xdr:rowOff>
    </xdr:from>
    <xdr:to>
      <xdr:col>11</xdr:col>
      <xdr:colOff>289560</xdr:colOff>
      <xdr:row>20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F803F-EE77-DF7B-2B9C-B216E5881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171450</xdr:rowOff>
    </xdr:from>
    <xdr:to>
      <xdr:col>11</xdr:col>
      <xdr:colOff>304800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F4C4F-150C-E144-3C23-2AD7E07E1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171450</xdr:rowOff>
    </xdr:from>
    <xdr:to>
      <xdr:col>11</xdr:col>
      <xdr:colOff>297180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7A966-D0E1-8BFF-C9EC-1441274C1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6.89481597222" createdVersion="8" refreshedVersion="8" minRefreshableVersion="3" recordCount="10" xr:uid="{055C55DE-C724-48C0-B899-919384AB0BBF}">
  <cacheSource type="worksheet">
    <worksheetSource ref="A1:K11" sheet="Dataset"/>
  </cacheSource>
  <cacheFields count="11">
    <cacheField name="FlightID" numFmtId="0">
      <sharedItems/>
    </cacheField>
    <cacheField name="RouteType" numFmtId="0">
      <sharedItems count="2">
        <s v="Domestic"/>
        <s v="International"/>
      </sharedItems>
    </cacheField>
    <cacheField name="Delay_Minutes" numFmtId="0">
      <sharedItems containsSemiMixedTypes="0" containsString="0" containsNumber="1" containsInteger="1" minValue="10" maxValue="120"/>
    </cacheField>
    <cacheField name="TicketPrice" numFmtId="0">
      <sharedItems containsSemiMixedTypes="0" containsString="0" containsNumber="1" containsInteger="1" minValue="4900" maxValue="53000"/>
    </cacheField>
    <cacheField name="PassengerSatisfaction" numFmtId="0">
      <sharedItems containsSemiMixedTypes="0" containsString="0" containsNumber="1" containsInteger="1" minValue="1" maxValue="5"/>
    </cacheField>
    <cacheField name="CompensationPaid" numFmtId="0">
      <sharedItems containsSemiMixedTypes="0" containsString="0" containsNumber="1" containsInteger="1" minValue="0" maxValue="3200"/>
    </cacheField>
    <cacheField name="BaggageIssues" numFmtId="0">
      <sharedItems count="2">
        <s v="Yes"/>
        <s v="No"/>
      </sharedItems>
    </cacheField>
    <cacheField name="FlightCancelled" numFmtId="0">
      <sharedItems/>
    </cacheField>
    <cacheField name="CancellationFlag" numFmtId="0">
      <sharedItems containsSemiMixedTypes="0" containsString="0" containsNumber="1" containsInteger="1" minValue="0" maxValue="1"/>
    </cacheField>
    <cacheField name="DelayCategory" numFmtId="0">
      <sharedItems count="3">
        <s v="Severe Delay"/>
        <s v="Minor Delay"/>
        <s v="Moderate Delay"/>
      </sharedItems>
    </cacheField>
    <cacheField name="TicketSegment" numFmtId="0">
      <sharedItems count="2">
        <s v="Economy"/>
        <s v="Prem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A1001"/>
    <x v="0"/>
    <n v="75"/>
    <n v="5200"/>
    <n v="2"/>
    <n v="1800"/>
    <x v="0"/>
    <s v="No"/>
    <n v="0"/>
    <x v="0"/>
    <x v="0"/>
  </r>
  <r>
    <s v="A1002"/>
    <x v="1"/>
    <n v="15"/>
    <n v="42000"/>
    <n v="5"/>
    <n v="0"/>
    <x v="1"/>
    <s v="No"/>
    <n v="0"/>
    <x v="1"/>
    <x v="1"/>
  </r>
  <r>
    <s v="A1003"/>
    <x v="0"/>
    <n v="30"/>
    <n v="6800"/>
    <n v="4"/>
    <n v="0"/>
    <x v="1"/>
    <s v="No"/>
    <n v="0"/>
    <x v="2"/>
    <x v="0"/>
  </r>
  <r>
    <s v="A1004"/>
    <x v="0"/>
    <n v="95"/>
    <n v="4900"/>
    <n v="1"/>
    <n v="2500"/>
    <x v="0"/>
    <s v="No"/>
    <n v="0"/>
    <x v="0"/>
    <x v="0"/>
  </r>
  <r>
    <s v="A1005"/>
    <x v="1"/>
    <n v="20"/>
    <n v="51000"/>
    <n v="5"/>
    <n v="0"/>
    <x v="1"/>
    <s v="No"/>
    <n v="0"/>
    <x v="1"/>
    <x v="1"/>
  </r>
  <r>
    <s v="A1006"/>
    <x v="0"/>
    <n v="50"/>
    <n v="7200"/>
    <n v="3"/>
    <n v="1200"/>
    <x v="0"/>
    <s v="No"/>
    <n v="0"/>
    <x v="2"/>
    <x v="0"/>
  </r>
  <r>
    <s v="A1007"/>
    <x v="1"/>
    <n v="10"/>
    <n v="47000"/>
    <n v="5"/>
    <n v="0"/>
    <x v="1"/>
    <s v="No"/>
    <n v="0"/>
    <x v="1"/>
    <x v="1"/>
  </r>
  <r>
    <s v="A1008"/>
    <x v="0"/>
    <n v="85"/>
    <n v="5600"/>
    <n v="2"/>
    <n v="2000"/>
    <x v="0"/>
    <s v="No"/>
    <n v="0"/>
    <x v="0"/>
    <x v="0"/>
  </r>
  <r>
    <s v="A1009"/>
    <x v="0"/>
    <n v="120"/>
    <n v="6100"/>
    <n v="1"/>
    <n v="3200"/>
    <x v="0"/>
    <s v="Yes"/>
    <n v="1"/>
    <x v="0"/>
    <x v="0"/>
  </r>
  <r>
    <s v="A1010"/>
    <x v="1"/>
    <n v="18"/>
    <n v="53000"/>
    <n v="4"/>
    <n v="0"/>
    <x v="1"/>
    <s v="No"/>
    <n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2FF87-4077-4817-BDB9-E74048227C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oute_Type">
  <location ref="A3:B6" firstHeaderRow="1" firstDataRow="1" firstDataCol="1"/>
  <pivotFields count="11"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1"/>
    </i>
    <i>
      <x/>
    </i>
    <i t="grand">
      <x/>
    </i>
  </rowItems>
  <colItems count="1">
    <i/>
  </colItems>
  <dataFields count="1">
    <dataField name="Avg of TicketPrice" fld="3" subtotal="average" baseField="1" baseItem="0" numFmtId="164"/>
  </dataFields>
  <formats count="14"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 axis="axisRow" fieldPosition="0"/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4088A-C7BA-41B5-9578-81F5985191F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lay_Category">
  <location ref="A3:B7" firstHeaderRow="1" firstDataRow="1" firstDataCol="1"/>
  <pivotFields count="11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of PassengerSatisfaction" fld="4" subtotal="average" baseField="9" baseItem="0"/>
  </dataFields>
  <formats count="12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9" type="button" dataOnly="0" labelOnly="1" outline="0" axis="axisRow" fieldPosition="0"/>
    </format>
    <format dxfId="36">
      <pivotArea dataOnly="0" labelOnly="1" fieldPosition="0">
        <references count="1">
          <reference field="9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9" type="button" dataOnly="0" labelOnly="1" outline="0" axis="axisRow" fieldPosition="0"/>
    </format>
    <format dxfId="30">
      <pivotArea dataOnly="0" labelOnly="1" fieldPosition="0">
        <references count="1">
          <reference field="9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65668-0554-4708-91FA-78CCFD2DD8A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icket Segment">
  <location ref="A3:B6" firstHeaderRow="1" firstDataRow="1" firstDataCol="1"/>
  <pivotFields count="1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g of CompensationPaid" fld="5" subtotal="average" baseField="10" baseItem="0" numFmtId="166"/>
  </dataFields>
  <formats count="14"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0" type="button" dataOnly="0" labelOnly="1" outline="0" axis="axisRow" fieldPosition="0"/>
    </format>
    <format dxfId="22">
      <pivotArea dataOnly="0" labelOnly="1" fieldPosition="0">
        <references count="1">
          <reference field="10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0" type="button" dataOnly="0" labelOnly="1" outline="0" axis="axisRow" fieldPosition="0"/>
    </format>
    <format dxfId="16">
      <pivotArea dataOnly="0" labelOnly="1" fieldPosition="0">
        <references count="1">
          <reference field="10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B7312-B86D-4DCD-BF14-92229A77CE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oute Type">
  <location ref="A3:B6" firstHeaderRow="1" firstDataRow="1" firstDataCol="1"/>
  <pivotFields count="11">
    <pivotField showAll="0"/>
    <pivotField axis="axisRow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1"/>
    </i>
    <i>
      <x/>
    </i>
    <i t="grand">
      <x/>
    </i>
  </rowItems>
  <colItems count="1">
    <i/>
  </colItems>
  <dataFields count="1">
    <dataField name="Avg of Delay_Minutes" fld="2" subtotal="average" baseField="1" baseItem="0" numFmtId="1"/>
  </dataFields>
  <formats count="14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CF253-9A67-4EA4-8D0D-A9963CC7EDE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Baggage Issues">
  <location ref="A3:B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g of CancellationFlag" fld="8" subtotal="average" baseField="0" baseItem="0"/>
  </dataFields>
  <formats count="12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6" type="button" dataOnly="0" labelOnly="1" outline="0" axis="axisRow" fieldPosition="0"/>
    </format>
    <format dxfId="62">
      <pivotArea dataOnly="0" labelOnly="1" fieldPosition="0">
        <references count="1">
          <reference field="6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6" type="button" dataOnly="0" labelOnly="1" outline="0" axis="axisRow" fieldPosition="0"/>
    </format>
    <format dxfId="56">
      <pivotArea dataOnly="0" labelOnly="1" fieldPosition="0">
        <references count="1">
          <reference field="6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CDBE-588F-41DD-9C40-BBF66ED69AE9}">
  <sheetPr codeName="Sheet2"/>
  <dimension ref="A3:B14"/>
  <sheetViews>
    <sheetView workbookViewId="0">
      <selection activeCell="A24" sqref="A24"/>
    </sheetView>
  </sheetViews>
  <sheetFormatPr defaultRowHeight="14.4" x14ac:dyDescent="0.3"/>
  <cols>
    <col min="1" max="1" width="43.109375" style="2" bestFit="1" customWidth="1"/>
    <col min="2" max="2" width="17" style="4" bestFit="1" customWidth="1"/>
    <col min="3" max="16384" width="8.88671875" style="2"/>
  </cols>
  <sheetData>
    <row r="3" spans="1:2" x14ac:dyDescent="0.3">
      <c r="A3" s="9" t="s">
        <v>18</v>
      </c>
      <c r="B3" s="4" t="s">
        <v>16</v>
      </c>
    </row>
    <row r="4" spans="1:2" x14ac:dyDescent="0.3">
      <c r="A4" s="2" t="s">
        <v>6</v>
      </c>
      <c r="B4" s="4">
        <v>48250</v>
      </c>
    </row>
    <row r="5" spans="1:2" x14ac:dyDescent="0.3">
      <c r="A5" s="2" t="s">
        <v>2</v>
      </c>
      <c r="B5" s="4">
        <v>5966.666666666667</v>
      </c>
    </row>
    <row r="6" spans="1:2" x14ac:dyDescent="0.3">
      <c r="A6" s="2" t="s">
        <v>15</v>
      </c>
      <c r="B6" s="4">
        <v>22880</v>
      </c>
    </row>
    <row r="10" spans="1:2" x14ac:dyDescent="0.3">
      <c r="A10" s="1" t="s">
        <v>27</v>
      </c>
      <c r="B10" s="3" t="str">
        <f>_xlfn.XLOOKUP(MAX(B4:B5),B4:B5,A4:A5,)</f>
        <v>International</v>
      </c>
    </row>
    <row r="14" spans="1:2" x14ac:dyDescent="0.3">
      <c r="A14" s="1" t="s">
        <v>28</v>
      </c>
      <c r="B14" s="3">
        <f>VLOOKUP(A4,A4:B5,2,FALSE)</f>
        <v>48250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3B35-1582-40B8-9CE0-C64C5E83AD53}">
  <sheetPr codeName="Sheet3"/>
  <dimension ref="A3:B15"/>
  <sheetViews>
    <sheetView workbookViewId="0">
      <selection activeCell="D20" sqref="D20"/>
    </sheetView>
  </sheetViews>
  <sheetFormatPr defaultRowHeight="14.4" x14ac:dyDescent="0.3"/>
  <cols>
    <col min="1" max="1" width="48.33203125" style="2" bestFit="1" customWidth="1"/>
    <col min="2" max="2" width="25.5546875" style="2" bestFit="1" customWidth="1"/>
    <col min="3" max="16384" width="8.88671875" style="2"/>
  </cols>
  <sheetData>
    <row r="3" spans="1:2" x14ac:dyDescent="0.3">
      <c r="A3" s="9" t="s">
        <v>25</v>
      </c>
      <c r="B3" s="2" t="s">
        <v>32</v>
      </c>
    </row>
    <row r="4" spans="1:2" x14ac:dyDescent="0.3">
      <c r="A4" s="2" t="s">
        <v>29</v>
      </c>
      <c r="B4" s="2">
        <v>4.75</v>
      </c>
    </row>
    <row r="5" spans="1:2" x14ac:dyDescent="0.3">
      <c r="A5" s="2" t="s">
        <v>30</v>
      </c>
      <c r="B5" s="2">
        <v>3.5</v>
      </c>
    </row>
    <row r="6" spans="1:2" x14ac:dyDescent="0.3">
      <c r="A6" s="2" t="s">
        <v>31</v>
      </c>
      <c r="B6" s="2">
        <v>1.5</v>
      </c>
    </row>
    <row r="7" spans="1:2" x14ac:dyDescent="0.3">
      <c r="A7" s="2" t="s">
        <v>15</v>
      </c>
      <c r="B7" s="2">
        <v>3.2</v>
      </c>
    </row>
    <row r="11" spans="1:2" x14ac:dyDescent="0.3">
      <c r="A11" s="1" t="s">
        <v>33</v>
      </c>
      <c r="B11" s="1" t="str">
        <f>_xlfn.XLOOKUP(MIN(B4:B6),B4:B6,A4:A6,)</f>
        <v>Severe Delay</v>
      </c>
    </row>
    <row r="15" spans="1:2" x14ac:dyDescent="0.3">
      <c r="A15" s="1" t="s">
        <v>34</v>
      </c>
      <c r="B15" s="1">
        <f>VLOOKUP(A6,A4:B6,2,FALSE)</f>
        <v>1.5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6875-B2AB-424E-B222-6CD964AFF493}">
  <sheetPr codeName="Sheet4"/>
  <dimension ref="A3:B14"/>
  <sheetViews>
    <sheetView workbookViewId="0">
      <selection activeCell="J24" sqref="J24"/>
    </sheetView>
  </sheetViews>
  <sheetFormatPr defaultRowHeight="14.4" x14ac:dyDescent="0.3"/>
  <cols>
    <col min="1" max="1" width="46.6640625" style="2" bestFit="1" customWidth="1"/>
    <col min="2" max="2" width="24" style="10" bestFit="1" customWidth="1"/>
    <col min="3" max="16384" width="8.88671875" style="2"/>
  </cols>
  <sheetData>
    <row r="3" spans="1:2" x14ac:dyDescent="0.3">
      <c r="A3" s="9" t="s">
        <v>38</v>
      </c>
      <c r="B3" s="10" t="s">
        <v>37</v>
      </c>
    </row>
    <row r="4" spans="1:2" x14ac:dyDescent="0.3">
      <c r="A4" s="2" t="s">
        <v>35</v>
      </c>
      <c r="B4" s="10">
        <v>1783.3333333333333</v>
      </c>
    </row>
    <row r="5" spans="1:2" x14ac:dyDescent="0.3">
      <c r="A5" s="2" t="s">
        <v>36</v>
      </c>
      <c r="B5" s="10">
        <v>0</v>
      </c>
    </row>
    <row r="6" spans="1:2" x14ac:dyDescent="0.3">
      <c r="A6" s="2" t="s">
        <v>15</v>
      </c>
      <c r="B6" s="10">
        <v>1070</v>
      </c>
    </row>
    <row r="10" spans="1:2" x14ac:dyDescent="0.3">
      <c r="A10" s="1" t="s">
        <v>39</v>
      </c>
      <c r="B10" s="11" t="str">
        <f>_xlfn.XLOOKUP(MIN(B4:B5),B4:B5,A4:A5,)</f>
        <v>Premium</v>
      </c>
    </row>
    <row r="14" spans="1:2" x14ac:dyDescent="0.3">
      <c r="A14" s="1" t="s">
        <v>40</v>
      </c>
      <c r="B14" s="11">
        <f>VLOOKUP(A5,A4:B5,2,FALSE)</f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FB04-E981-4A5F-A325-082961091853}">
  <sheetPr codeName="Sheet5"/>
  <dimension ref="A3:B14"/>
  <sheetViews>
    <sheetView workbookViewId="0">
      <selection activeCell="J25" sqref="J25"/>
    </sheetView>
  </sheetViews>
  <sheetFormatPr defaultRowHeight="14.4" x14ac:dyDescent="0.3"/>
  <cols>
    <col min="1" max="1" width="31" style="2" bestFit="1" customWidth="1"/>
    <col min="2" max="2" width="19.6640625" style="12" bestFit="1" customWidth="1"/>
    <col min="3" max="16384" width="8.88671875" style="2"/>
  </cols>
  <sheetData>
    <row r="3" spans="1:2" x14ac:dyDescent="0.3">
      <c r="A3" s="9" t="s">
        <v>42</v>
      </c>
      <c r="B3" s="12" t="s">
        <v>41</v>
      </c>
    </row>
    <row r="4" spans="1:2" x14ac:dyDescent="0.3">
      <c r="A4" s="2" t="s">
        <v>6</v>
      </c>
      <c r="B4" s="12">
        <v>15.75</v>
      </c>
    </row>
    <row r="5" spans="1:2" x14ac:dyDescent="0.3">
      <c r="A5" s="2" t="s">
        <v>2</v>
      </c>
      <c r="B5" s="12">
        <v>75.833333333333329</v>
      </c>
    </row>
    <row r="6" spans="1:2" x14ac:dyDescent="0.3">
      <c r="A6" s="2" t="s">
        <v>15</v>
      </c>
      <c r="B6" s="12">
        <v>51.8</v>
      </c>
    </row>
    <row r="10" spans="1:2" x14ac:dyDescent="0.3">
      <c r="A10" s="1" t="s">
        <v>43</v>
      </c>
      <c r="B10" s="13" t="str">
        <f>_xlfn.XLOOKUP(MAX(B4:B5),B4:B5,A4:A5,)</f>
        <v>Domestic</v>
      </c>
    </row>
    <row r="14" spans="1:2" x14ac:dyDescent="0.3">
      <c r="A14" s="1" t="s">
        <v>44</v>
      </c>
      <c r="B14" s="13">
        <f>VLOOKUP(A5,A4:B5,2,FALSE)</f>
        <v>75.833333333333329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0F08-7137-4C24-9E08-000E6E152131}">
  <sheetPr codeName="Sheet6"/>
  <dimension ref="A3:B14"/>
  <sheetViews>
    <sheetView tabSelected="1" workbookViewId="0">
      <selection activeCell="D24" sqref="D24"/>
    </sheetView>
  </sheetViews>
  <sheetFormatPr defaultRowHeight="14.4" x14ac:dyDescent="0.3"/>
  <cols>
    <col min="1" max="1" width="44.5546875" style="2" bestFit="1" customWidth="1"/>
    <col min="2" max="2" width="20.77734375" style="2" bestFit="1" customWidth="1"/>
    <col min="3" max="16384" width="8.88671875" style="2"/>
  </cols>
  <sheetData>
    <row r="3" spans="1:2" x14ac:dyDescent="0.3">
      <c r="A3" s="9" t="s">
        <v>46</v>
      </c>
      <c r="B3" s="2" t="s">
        <v>45</v>
      </c>
    </row>
    <row r="4" spans="1:2" x14ac:dyDescent="0.3">
      <c r="A4" s="2" t="s">
        <v>4</v>
      </c>
      <c r="B4" s="2">
        <v>0</v>
      </c>
    </row>
    <row r="5" spans="1:2" x14ac:dyDescent="0.3">
      <c r="A5" s="2" t="s">
        <v>3</v>
      </c>
      <c r="B5" s="2">
        <v>0.2</v>
      </c>
    </row>
    <row r="6" spans="1:2" x14ac:dyDescent="0.3">
      <c r="A6" s="2" t="s">
        <v>15</v>
      </c>
      <c r="B6" s="2">
        <v>0.1</v>
      </c>
    </row>
    <row r="10" spans="1:2" x14ac:dyDescent="0.3">
      <c r="A10" s="1" t="s">
        <v>47</v>
      </c>
      <c r="B10" s="1" t="str">
        <f>_xlfn.XLOOKUP(MAX(B4:B5),B4:B5,A4:A5,)</f>
        <v>Yes</v>
      </c>
    </row>
    <row r="14" spans="1:2" x14ac:dyDescent="0.3">
      <c r="A14" s="1" t="s">
        <v>48</v>
      </c>
      <c r="B14" s="1">
        <f>VLOOKUP(A5,A4:B5,2,FALSE)</f>
        <v>0.2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CB3F-DCB0-4F23-94CC-3BA00A3DA589}">
  <sheetPr codeName="Sheet1"/>
  <dimension ref="A1:K11"/>
  <sheetViews>
    <sheetView workbookViewId="0">
      <selection activeCell="H21" sqref="H21"/>
    </sheetView>
  </sheetViews>
  <sheetFormatPr defaultRowHeight="14.4" x14ac:dyDescent="0.3"/>
  <cols>
    <col min="1" max="1" width="8.33203125" style="2" bestFit="1" customWidth="1"/>
    <col min="2" max="2" width="11.5546875" style="6" bestFit="1" customWidth="1"/>
    <col min="3" max="3" width="13.6640625" style="8" bestFit="1" customWidth="1"/>
    <col min="4" max="4" width="12" style="4" bestFit="1" customWidth="1"/>
    <col min="5" max="5" width="20.44140625" style="2" bestFit="1" customWidth="1"/>
    <col min="6" max="6" width="19" style="4" bestFit="1" customWidth="1"/>
    <col min="7" max="7" width="14.21875" style="6" bestFit="1" customWidth="1"/>
    <col min="8" max="8" width="14.77734375" style="6" bestFit="1" customWidth="1"/>
    <col min="9" max="9" width="15.77734375" style="2" bestFit="1" customWidth="1"/>
    <col min="10" max="10" width="14.33203125" style="6" bestFit="1" customWidth="1"/>
    <col min="11" max="11" width="14.5546875" style="6" bestFit="1" customWidth="1"/>
    <col min="12" max="16384" width="8.88671875" style="2"/>
  </cols>
  <sheetData>
    <row r="1" spans="1:11" x14ac:dyDescent="0.3">
      <c r="A1" s="1" t="s">
        <v>17</v>
      </c>
      <c r="B1" s="5" t="s">
        <v>18</v>
      </c>
      <c r="C1" s="7" t="s">
        <v>0</v>
      </c>
      <c r="D1" s="3" t="s">
        <v>19</v>
      </c>
      <c r="E1" s="1" t="s">
        <v>20</v>
      </c>
      <c r="F1" s="3" t="s">
        <v>21</v>
      </c>
      <c r="G1" s="5" t="s">
        <v>22</v>
      </c>
      <c r="H1" s="5" t="s">
        <v>23</v>
      </c>
      <c r="I1" s="1" t="s">
        <v>24</v>
      </c>
      <c r="J1" s="5" t="s">
        <v>25</v>
      </c>
      <c r="K1" s="5" t="s">
        <v>26</v>
      </c>
    </row>
    <row r="2" spans="1:11" x14ac:dyDescent="0.3">
      <c r="A2" s="2" t="s">
        <v>1</v>
      </c>
      <c r="B2" s="6" t="s">
        <v>2</v>
      </c>
      <c r="C2" s="8">
        <v>75</v>
      </c>
      <c r="D2" s="4">
        <v>5200</v>
      </c>
      <c r="E2" s="2">
        <v>2</v>
      </c>
      <c r="F2" s="4">
        <v>1800</v>
      </c>
      <c r="G2" s="6" t="s">
        <v>3</v>
      </c>
      <c r="H2" s="6" t="s">
        <v>4</v>
      </c>
      <c r="I2" s="2">
        <f>IF(H2="Yes",1,0)</f>
        <v>0</v>
      </c>
      <c r="J2" s="6" t="str">
        <f>IF(C2&lt;30,"Minor Delay",IF(C2&lt;=60,"Moderate Delay","Severe Delay"))</f>
        <v>Severe Delay</v>
      </c>
      <c r="K2" s="6" t="str">
        <f>IF(D2&lt;10000,"Economy",IF(D2&lt;40000,"Business","Premium"))</f>
        <v>Economy</v>
      </c>
    </row>
    <row r="3" spans="1:11" x14ac:dyDescent="0.3">
      <c r="A3" s="2" t="s">
        <v>5</v>
      </c>
      <c r="B3" s="6" t="s">
        <v>6</v>
      </c>
      <c r="C3" s="8">
        <v>15</v>
      </c>
      <c r="D3" s="4">
        <v>42000</v>
      </c>
      <c r="E3" s="2">
        <v>5</v>
      </c>
      <c r="F3" s="4">
        <v>0</v>
      </c>
      <c r="G3" s="6" t="s">
        <v>4</v>
      </c>
      <c r="H3" s="6" t="s">
        <v>4</v>
      </c>
      <c r="I3" s="2">
        <f t="shared" ref="I3:I11" si="0">IF(H3="Yes",1,0)</f>
        <v>0</v>
      </c>
      <c r="J3" s="6" t="str">
        <f t="shared" ref="J3:J11" si="1">IF(C3&lt;30,"Minor Delay",IF(C3&lt;=60,"Moderate Delay","Severe Delay"))</f>
        <v>Minor Delay</v>
      </c>
      <c r="K3" s="6" t="str">
        <f t="shared" ref="K3:K11" si="2">IF(D3&lt;10000,"Economy",IF(D3&lt;40000,"Business","Premium"))</f>
        <v>Premium</v>
      </c>
    </row>
    <row r="4" spans="1:11" x14ac:dyDescent="0.3">
      <c r="A4" s="2" t="s">
        <v>7</v>
      </c>
      <c r="B4" s="6" t="s">
        <v>2</v>
      </c>
      <c r="C4" s="8">
        <v>30</v>
      </c>
      <c r="D4" s="4">
        <v>6800</v>
      </c>
      <c r="E4" s="2">
        <v>4</v>
      </c>
      <c r="F4" s="4">
        <v>0</v>
      </c>
      <c r="G4" s="6" t="s">
        <v>4</v>
      </c>
      <c r="H4" s="6" t="s">
        <v>4</v>
      </c>
      <c r="I4" s="2">
        <f t="shared" si="0"/>
        <v>0</v>
      </c>
      <c r="J4" s="6" t="str">
        <f t="shared" si="1"/>
        <v>Moderate Delay</v>
      </c>
      <c r="K4" s="6" t="str">
        <f t="shared" si="2"/>
        <v>Economy</v>
      </c>
    </row>
    <row r="5" spans="1:11" x14ac:dyDescent="0.3">
      <c r="A5" s="2" t="s">
        <v>8</v>
      </c>
      <c r="B5" s="6" t="s">
        <v>2</v>
      </c>
      <c r="C5" s="8">
        <v>95</v>
      </c>
      <c r="D5" s="4">
        <v>4900</v>
      </c>
      <c r="E5" s="2">
        <v>1</v>
      </c>
      <c r="F5" s="4">
        <v>2500</v>
      </c>
      <c r="G5" s="6" t="s">
        <v>3</v>
      </c>
      <c r="H5" s="6" t="s">
        <v>4</v>
      </c>
      <c r="I5" s="2">
        <f t="shared" si="0"/>
        <v>0</v>
      </c>
      <c r="J5" s="6" t="str">
        <f t="shared" si="1"/>
        <v>Severe Delay</v>
      </c>
      <c r="K5" s="6" t="str">
        <f t="shared" si="2"/>
        <v>Economy</v>
      </c>
    </row>
    <row r="6" spans="1:11" x14ac:dyDescent="0.3">
      <c r="A6" s="2" t="s">
        <v>9</v>
      </c>
      <c r="B6" s="6" t="s">
        <v>6</v>
      </c>
      <c r="C6" s="8">
        <v>20</v>
      </c>
      <c r="D6" s="4">
        <v>51000</v>
      </c>
      <c r="E6" s="2">
        <v>5</v>
      </c>
      <c r="F6" s="4">
        <v>0</v>
      </c>
      <c r="G6" s="6" t="s">
        <v>4</v>
      </c>
      <c r="H6" s="6" t="s">
        <v>4</v>
      </c>
      <c r="I6" s="2">
        <f t="shared" si="0"/>
        <v>0</v>
      </c>
      <c r="J6" s="6" t="str">
        <f t="shared" si="1"/>
        <v>Minor Delay</v>
      </c>
      <c r="K6" s="6" t="str">
        <f t="shared" si="2"/>
        <v>Premium</v>
      </c>
    </row>
    <row r="7" spans="1:11" x14ac:dyDescent="0.3">
      <c r="A7" s="2" t="s">
        <v>10</v>
      </c>
      <c r="B7" s="6" t="s">
        <v>2</v>
      </c>
      <c r="C7" s="8">
        <v>50</v>
      </c>
      <c r="D7" s="4">
        <v>7200</v>
      </c>
      <c r="E7" s="2">
        <v>3</v>
      </c>
      <c r="F7" s="4">
        <v>1200</v>
      </c>
      <c r="G7" s="6" t="s">
        <v>3</v>
      </c>
      <c r="H7" s="6" t="s">
        <v>4</v>
      </c>
      <c r="I7" s="2">
        <f t="shared" si="0"/>
        <v>0</v>
      </c>
      <c r="J7" s="6" t="str">
        <f t="shared" si="1"/>
        <v>Moderate Delay</v>
      </c>
      <c r="K7" s="6" t="str">
        <f t="shared" si="2"/>
        <v>Economy</v>
      </c>
    </row>
    <row r="8" spans="1:11" x14ac:dyDescent="0.3">
      <c r="A8" s="2" t="s">
        <v>11</v>
      </c>
      <c r="B8" s="6" t="s">
        <v>6</v>
      </c>
      <c r="C8" s="8">
        <v>10</v>
      </c>
      <c r="D8" s="4">
        <v>47000</v>
      </c>
      <c r="E8" s="2">
        <v>5</v>
      </c>
      <c r="F8" s="4">
        <v>0</v>
      </c>
      <c r="G8" s="6" t="s">
        <v>4</v>
      </c>
      <c r="H8" s="6" t="s">
        <v>4</v>
      </c>
      <c r="I8" s="2">
        <f t="shared" si="0"/>
        <v>0</v>
      </c>
      <c r="J8" s="6" t="str">
        <f t="shared" si="1"/>
        <v>Minor Delay</v>
      </c>
      <c r="K8" s="6" t="str">
        <f t="shared" si="2"/>
        <v>Premium</v>
      </c>
    </row>
    <row r="9" spans="1:11" x14ac:dyDescent="0.3">
      <c r="A9" s="2" t="s">
        <v>12</v>
      </c>
      <c r="B9" s="6" t="s">
        <v>2</v>
      </c>
      <c r="C9" s="8">
        <v>85</v>
      </c>
      <c r="D9" s="4">
        <v>5600</v>
      </c>
      <c r="E9" s="2">
        <v>2</v>
      </c>
      <c r="F9" s="4">
        <v>2000</v>
      </c>
      <c r="G9" s="6" t="s">
        <v>3</v>
      </c>
      <c r="H9" s="6" t="s">
        <v>4</v>
      </c>
      <c r="I9" s="2">
        <f t="shared" si="0"/>
        <v>0</v>
      </c>
      <c r="J9" s="6" t="str">
        <f t="shared" si="1"/>
        <v>Severe Delay</v>
      </c>
      <c r="K9" s="6" t="str">
        <f t="shared" si="2"/>
        <v>Economy</v>
      </c>
    </row>
    <row r="10" spans="1:11" x14ac:dyDescent="0.3">
      <c r="A10" s="2" t="s">
        <v>13</v>
      </c>
      <c r="B10" s="6" t="s">
        <v>2</v>
      </c>
      <c r="C10" s="8">
        <v>120</v>
      </c>
      <c r="D10" s="4">
        <v>6100</v>
      </c>
      <c r="E10" s="2">
        <v>1</v>
      </c>
      <c r="F10" s="4">
        <v>3200</v>
      </c>
      <c r="G10" s="6" t="s">
        <v>3</v>
      </c>
      <c r="H10" s="6" t="s">
        <v>3</v>
      </c>
      <c r="I10" s="2">
        <f t="shared" si="0"/>
        <v>1</v>
      </c>
      <c r="J10" s="6" t="str">
        <f t="shared" si="1"/>
        <v>Severe Delay</v>
      </c>
      <c r="K10" s="6" t="str">
        <f t="shared" si="2"/>
        <v>Economy</v>
      </c>
    </row>
    <row r="11" spans="1:11" x14ac:dyDescent="0.3">
      <c r="A11" s="2" t="s">
        <v>14</v>
      </c>
      <c r="B11" s="6" t="s">
        <v>6</v>
      </c>
      <c r="C11" s="8">
        <v>18</v>
      </c>
      <c r="D11" s="4">
        <v>53000</v>
      </c>
      <c r="E11" s="2">
        <v>4</v>
      </c>
      <c r="F11" s="4">
        <v>0</v>
      </c>
      <c r="G11" s="6" t="s">
        <v>4</v>
      </c>
      <c r="H11" s="6" t="s">
        <v>4</v>
      </c>
      <c r="I11" s="2">
        <f t="shared" si="0"/>
        <v>0</v>
      </c>
      <c r="J11" s="6" t="str">
        <f t="shared" si="1"/>
        <v>Minor Delay</v>
      </c>
      <c r="K11" s="6" t="str">
        <f t="shared" si="2"/>
        <v>Premium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Avg Ticket Price by Route Type</vt:lpstr>
      <vt:lpstr>Avg_Passenger_Satisfaction by D</vt:lpstr>
      <vt:lpstr>Avg CompensationPaid by Ticket </vt:lpstr>
      <vt:lpstr>Avg Delay Minutes by Route Type</vt:lpstr>
      <vt:lpstr>Baggage Issue Distribution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</dc:creator>
  <cp:lastModifiedBy>Swaroopa B</cp:lastModifiedBy>
  <dcterms:created xsi:type="dcterms:W3CDTF">2026-06-23T15:39:45Z</dcterms:created>
  <dcterms:modified xsi:type="dcterms:W3CDTF">2026-07-03T16:50:08Z</dcterms:modified>
</cp:coreProperties>
</file>