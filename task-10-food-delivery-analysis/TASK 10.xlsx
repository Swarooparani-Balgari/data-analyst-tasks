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10\"/>
    </mc:Choice>
  </mc:AlternateContent>
  <xr:revisionPtr revIDLastSave="0" documentId="13_ncr:1_{02A13A48-0FF7-4EDB-868C-BC4ABA7842EF}" xr6:coauthVersionLast="47" xr6:coauthVersionMax="47" xr10:uidLastSave="{00000000-0000-0000-0000-000000000000}"/>
  <bookViews>
    <workbookView xWindow="-108" yWindow="-108" windowWidth="23256" windowHeight="12456" firstSheet="1" activeTab="2" xr2:uid="{40EA8537-2BFC-4056-AFDB-9E1A9865247E}"/>
  </bookViews>
  <sheets>
    <sheet name="Late Deliveries by Restaurant" sheetId="2" r:id="rId1"/>
    <sheet name="Avg Delivery Time by City" sheetId="5" r:id="rId2"/>
    <sheet name="Avg DeliveryPatnerRating by Lat" sheetId="6" r:id="rId3"/>
    <sheet name="Avg Preparation time by Restaur" sheetId="7" r:id="rId4"/>
    <sheet name="DeliveryTime_min" sheetId="3" r:id="rId5"/>
    <sheet name="Dataset" sheetId="1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7" l="1"/>
  <c r="B11" i="7"/>
  <c r="B9" i="6"/>
  <c r="B12" i="6"/>
  <c r="B15" i="5"/>
  <c r="B11" i="5"/>
  <c r="B15" i="2"/>
  <c r="B11" i="2" a="1"/>
  <c r="B11" i="2" s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<sst xmlns="http://schemas.openxmlformats.org/spreadsheetml/2006/main" count="74" uniqueCount="33">
  <si>
    <t>OrderID</t>
  </si>
  <si>
    <t>Restaurant</t>
  </si>
  <si>
    <t>City</t>
  </si>
  <si>
    <t>Distance_km</t>
  </si>
  <si>
    <t>DeliveryTime_min</t>
  </si>
  <si>
    <t>PrepTime_min</t>
  </si>
  <si>
    <t>DeliveryPartnerRating</t>
  </si>
  <si>
    <t>LateDelivery</t>
  </si>
  <si>
    <t>Burger Hub</t>
  </si>
  <si>
    <t>Delhi</t>
  </si>
  <si>
    <t>No</t>
  </si>
  <si>
    <t>Pizza Point</t>
  </si>
  <si>
    <t>Mumbai</t>
  </si>
  <si>
    <t>Yes</t>
  </si>
  <si>
    <t>Spice Kitchen</t>
  </si>
  <si>
    <t>Bangalore</t>
  </si>
  <si>
    <t>LateFlag</t>
  </si>
  <si>
    <t>Delivery Speed</t>
  </si>
  <si>
    <t>Total Time</t>
  </si>
  <si>
    <t>Grand Total</t>
  </si>
  <si>
    <t>Sum of LateFlag</t>
  </si>
  <si>
    <t>Which restaurant has most late deliveries</t>
  </si>
  <si>
    <t>What's the highest lateflag count by restaurant</t>
  </si>
  <si>
    <t>Avg DeliveryTime_min</t>
  </si>
  <si>
    <t xml:space="preserve">Which city is delivering fast </t>
  </si>
  <si>
    <t>What's the lowest delivery time</t>
  </si>
  <si>
    <t>Avg DeliveryPartnerRating</t>
  </si>
  <si>
    <t>Did LateDelivery affected DeliveryPatnerRating</t>
  </si>
  <si>
    <t xml:space="preserve">What's the best DeliveryPatnerRating </t>
  </si>
  <si>
    <t xml:space="preserve">Which label of LateDelivery got best the rating </t>
  </si>
  <si>
    <t>Avg PrepTime_min</t>
  </si>
  <si>
    <t>Which Restaurant is taking long time to prepare food</t>
  </si>
  <si>
    <t>What's the max preparation time taken by the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</si>
</sst>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10.xlsx]Late Deliveries by Restaurant!PivotTable1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 Deliveries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'Late Deliveries by Restaurant'!$B$3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658-4265-B08C-45179DA534B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58-4265-B08C-45179DA534B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58-4265-B08C-45179DA534BF}"/>
              </c:ext>
            </c:extLst>
          </c:dPt>
          <c:cat>
            <c:strRef>
              <c:f>'Late Deliveries by Restaurant'!$A$4:$A$7</c:f>
              <c:strCache>
                <c:ptCount val="3"/>
                <c:pt idx="0">
                  <c:v>Burger Hub</c:v>
                </c:pt>
                <c:pt idx="1">
                  <c:v>Pizza Point</c:v>
                </c:pt>
                <c:pt idx="2">
                  <c:v>Spice Kitchen</c:v>
                </c:pt>
              </c:strCache>
            </c:strRef>
          </c:cat>
          <c:val>
            <c:numRef>
              <c:f>'Late Deliveries by Restaurant'!$B$4:$B$7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6-4D59-8B64-261716B6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61200"/>
        <c:axId val="450460720"/>
      </c:barChart>
      <c:catAx>
        <c:axId val="4504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0720"/>
        <c:crosses val="autoZero"/>
        <c:auto val="1"/>
        <c:lblAlgn val="ctr"/>
        <c:lblOffset val="100"/>
        <c:noMultiLvlLbl val="0"/>
      </c:catAx>
      <c:valAx>
        <c:axId val="4504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10.xlsx]Avg Delivery Time by City!PivotTable3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Delivery Time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'Avg Delivery Time by City'!$B$3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1B-4FF6-A012-951FDA8BAF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B-4FF6-A012-951FDA8BAF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1B-4FF6-A012-951FDA8BAF7A}"/>
              </c:ext>
            </c:extLst>
          </c:dPt>
          <c:cat>
            <c:strRef>
              <c:f>'Avg Delivery Time by City'!$A$4:$A$7</c:f>
              <c:strCache>
                <c:ptCount val="3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</c:strCache>
            </c:strRef>
          </c:cat>
          <c:val>
            <c:numRef>
              <c:f>'Avg Delivery Time by City'!$B$4:$B$7</c:f>
              <c:numCache>
                <c:formatCode>0.00</c:formatCode>
                <c:ptCount val="3"/>
                <c:pt idx="0">
                  <c:v>32</c:v>
                </c:pt>
                <c:pt idx="1">
                  <c:v>48.333333333333336</c:v>
                </c:pt>
                <c:pt idx="2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3-4704-AE03-D83864A5C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0485680"/>
        <c:axId val="450482800"/>
      </c:barChart>
      <c:catAx>
        <c:axId val="45048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82800"/>
        <c:crosses val="autoZero"/>
        <c:auto val="1"/>
        <c:lblAlgn val="ctr"/>
        <c:lblOffset val="100"/>
        <c:noMultiLvlLbl val="0"/>
      </c:catAx>
      <c:valAx>
        <c:axId val="45048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8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10.xlsx]Avg DeliveryPatnerRating by Lat!PivotTable1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DeliveryPartnerRating by LateDelivery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</c:pivotFmt>
      <c:pivotFmt>
        <c:idx val="2"/>
        <c:spPr>
          <a:solidFill>
            <a:srgbClr val="7030A0">
              <a:alpha val="80000"/>
            </a:srgb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DeliveryPatnerRating by Lat'!$B$3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7A-42F5-B697-52B448D560AF}"/>
              </c:ext>
            </c:extLst>
          </c:dPt>
          <c:dPt>
            <c:idx val="1"/>
            <c:bubble3D val="0"/>
            <c:spPr>
              <a:solidFill>
                <a:srgbClr val="7030A0">
                  <a:alpha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7A-42F5-B697-52B448D560AF}"/>
              </c:ext>
            </c:extLst>
          </c:dPt>
          <c:cat>
            <c:strRef>
              <c:f>'Avg DeliveryPatnerRating by Lat'!$A$4:$A$6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'Avg DeliveryPatnerRating by Lat'!$B$4:$B$6</c:f>
              <c:numCache>
                <c:formatCode>General</c:formatCode>
                <c:ptCount val="2"/>
                <c:pt idx="0">
                  <c:v>4.62</c:v>
                </c:pt>
                <c:pt idx="1">
                  <c:v>4.0199999999999996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A-42F5-B697-52B448D56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  <a:alpha val="94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10.xlsx]Avg Preparation time by Restaur!PivotTable2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Preparation time by Restaurant</a:t>
            </a:r>
          </a:p>
        </c:rich>
      </c:tx>
      <c:layout>
        <c:manualLayout>
          <c:xMode val="edge"/>
          <c:yMode val="edge"/>
          <c:x val="0.132833333333333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312948381452319"/>
          <c:y val="0.12541666666666668"/>
          <c:w val="0.49419444444444444"/>
          <c:h val="0.82365740740740745"/>
        </c:manualLayout>
      </c:layout>
      <c:doughnutChart>
        <c:varyColors val="1"/>
        <c:ser>
          <c:idx val="0"/>
          <c:order val="0"/>
          <c:tx>
            <c:strRef>
              <c:f>'Avg Preparation time by Restaur'!$B$3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F3-4501-80EE-C7414929BD0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F3-4501-80EE-C7414929BD0D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AF3-4501-80EE-C7414929BD0D}"/>
              </c:ext>
            </c:extLst>
          </c:dPt>
          <c:cat>
            <c:strRef>
              <c:f>'Avg Preparation time by Restaur'!$A$4:$A$7</c:f>
              <c:strCache>
                <c:ptCount val="3"/>
                <c:pt idx="0">
                  <c:v>Pizza Point</c:v>
                </c:pt>
                <c:pt idx="1">
                  <c:v>Burger Hub</c:v>
                </c:pt>
                <c:pt idx="2">
                  <c:v>Spice Kitchen</c:v>
                </c:pt>
              </c:strCache>
            </c:strRef>
          </c:cat>
          <c:val>
            <c:numRef>
              <c:f>'Avg Preparation time by Restaur'!$B$4:$B$7</c:f>
              <c:numCache>
                <c:formatCode>0.00</c:formatCode>
                <c:ptCount val="3"/>
                <c:pt idx="0">
                  <c:v>20</c:v>
                </c:pt>
                <c:pt idx="1">
                  <c:v>15.75</c:v>
                </c:pt>
                <c:pt idx="2">
                  <c:v>14.666666666666666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3-4501-80EE-C7414929B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DeliveryTime_min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DeliveryTime_min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Dataset!$D$2:$D$11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5</c:v>
                </c:pt>
              </c:numCache>
            </c:numRef>
          </c:xVal>
          <c:yVal>
            <c:numRef>
              <c:f>Dataset!$E$2:$E$11</c:f>
              <c:numCache>
                <c:formatCode>General</c:formatCode>
                <c:ptCount val="10"/>
                <c:pt idx="0">
                  <c:v>30</c:v>
                </c:pt>
                <c:pt idx="1">
                  <c:v>50</c:v>
                </c:pt>
                <c:pt idx="2">
                  <c:v>25</c:v>
                </c:pt>
                <c:pt idx="3">
                  <c:v>55</c:v>
                </c:pt>
                <c:pt idx="4">
                  <c:v>40</c:v>
                </c:pt>
                <c:pt idx="5">
                  <c:v>60</c:v>
                </c:pt>
                <c:pt idx="6">
                  <c:v>35</c:v>
                </c:pt>
                <c:pt idx="7">
                  <c:v>70</c:v>
                </c:pt>
                <c:pt idx="8">
                  <c:v>20</c:v>
                </c:pt>
                <c:pt idx="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8-4E11-8D17-808E2B693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425680"/>
        <c:axId val="450435280"/>
      </c:scatterChart>
      <c:valAx>
        <c:axId val="45042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Distance_km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35280"/>
        <c:crosses val="autoZero"/>
        <c:crossBetween val="midCat"/>
      </c:valAx>
      <c:valAx>
        <c:axId val="4504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DeliveryTime_min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2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148590</xdr:rowOff>
    </xdr:from>
    <xdr:to>
      <xdr:col>10</xdr:col>
      <xdr:colOff>274320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044DD-6D21-0FEB-E7FF-452D2C64A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11</xdr:col>
      <xdr:colOff>22860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55D46-6535-E171-CAE4-B37D2E618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179070</xdr:rowOff>
    </xdr:from>
    <xdr:to>
      <xdr:col>10</xdr:col>
      <xdr:colOff>281940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EA7ED-D72E-7612-AB38-494ECF0D7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163830</xdr:rowOff>
    </xdr:from>
    <xdr:to>
      <xdr:col>11</xdr:col>
      <xdr:colOff>266700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CE2B7-E2AB-149A-A530-3EC0D078B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</xdr:row>
      <xdr:rowOff>7620</xdr:rowOff>
    </xdr:from>
    <xdr:to>
      <xdr:col>8</xdr:col>
      <xdr:colOff>586740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D8C1A-F1F6-4020-9C82-3F32A9999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3.543534606484" createdVersion="8" refreshedVersion="8" minRefreshableVersion="3" recordCount="10" xr:uid="{1F7D6776-0643-47ED-812F-F97322574952}">
  <cacheSource type="worksheet">
    <worksheetSource ref="A1:K11" sheet="Dataset"/>
  </cacheSource>
  <cacheFields count="11">
    <cacheField name="OrderID" numFmtId="0">
      <sharedItems containsSemiMixedTypes="0" containsString="0" containsNumber="1" containsInteger="1" minValue="3001" maxValue="3010"/>
    </cacheField>
    <cacheField name="Restaurant" numFmtId="49">
      <sharedItems count="3">
        <s v="Burger Hub"/>
        <s v="Pizza Point"/>
        <s v="Spice Kitchen"/>
      </sharedItems>
    </cacheField>
    <cacheField name="City" numFmtId="49">
      <sharedItems count="3">
        <s v="Delhi"/>
        <s v="Mumbai"/>
        <s v="Bangalore"/>
      </sharedItems>
    </cacheField>
    <cacheField name="Distance_km" numFmtId="0">
      <sharedItems containsSemiMixedTypes="0" containsString="0" containsNumber="1" containsInteger="1" minValue="2" maxValue="8"/>
    </cacheField>
    <cacheField name="DeliveryTime_min" numFmtId="0">
      <sharedItems containsSemiMixedTypes="0" containsString="0" containsNumber="1" containsInteger="1" minValue="20" maxValue="70"/>
    </cacheField>
    <cacheField name="PrepTime_min" numFmtId="0">
      <sharedItems containsSemiMixedTypes="0" containsString="0" containsNumber="1" containsInteger="1" minValue="10" maxValue="25"/>
    </cacheField>
    <cacheField name="DeliveryPartnerRating" numFmtId="0">
      <sharedItems containsSemiMixedTypes="0" containsString="0" containsNumber="1" minValue="3.8" maxValue="4.9000000000000004"/>
    </cacheField>
    <cacheField name="LateDelivery" numFmtId="49">
      <sharedItems count="2">
        <s v="No"/>
        <s v="Yes"/>
      </sharedItems>
    </cacheField>
    <cacheField name="LateFlag" numFmtId="0">
      <sharedItems containsSemiMixedTypes="0" containsString="0" containsNumber="1" containsInteger="1" minValue="0" maxValue="1"/>
    </cacheField>
    <cacheField name="Delivery Speed" numFmtId="2">
      <sharedItems containsSemiMixedTypes="0" containsString="0" containsNumber="1" minValue="0.08" maxValue="0.11666666666666667"/>
    </cacheField>
    <cacheField name="Total Time" numFmtId="0">
      <sharedItems containsSemiMixedTypes="0" containsString="0" containsNumber="1" containsInteger="1" minValue="3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3.605698148145" createdVersion="8" refreshedVersion="8" minRefreshableVersion="3" recordCount="10" xr:uid="{9F32ECE4-4ACE-49A6-842F-88A65C5AB8C8}">
  <cacheSource type="worksheet">
    <worksheetSource ref="G1:H11" sheet="Dataset"/>
  </cacheSource>
  <cacheFields count="2">
    <cacheField name="DeliveryPartnerRating" numFmtId="0">
      <sharedItems containsSemiMixedTypes="0" containsString="0" containsNumber="1" minValue="3.8" maxValue="4.9000000000000004"/>
    </cacheField>
    <cacheField name="LateDelivery" numFmtId="49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3001"/>
    <x v="0"/>
    <x v="0"/>
    <n v="3"/>
    <n v="30"/>
    <n v="15"/>
    <n v="4.5"/>
    <x v="0"/>
    <n v="0"/>
    <n v="0.1"/>
    <n v="45"/>
  </r>
  <r>
    <n v="3002"/>
    <x v="1"/>
    <x v="1"/>
    <n v="5"/>
    <n v="50"/>
    <n v="20"/>
    <n v="4.2"/>
    <x v="1"/>
    <n v="1"/>
    <n v="0.1"/>
    <n v="70"/>
  </r>
  <r>
    <n v="3003"/>
    <x v="2"/>
    <x v="0"/>
    <n v="2"/>
    <n v="25"/>
    <n v="12"/>
    <n v="4.8"/>
    <x v="0"/>
    <n v="0"/>
    <n v="0.08"/>
    <n v="37"/>
  </r>
  <r>
    <n v="3004"/>
    <x v="0"/>
    <x v="2"/>
    <n v="6"/>
    <n v="55"/>
    <n v="18"/>
    <n v="4"/>
    <x v="1"/>
    <n v="1"/>
    <n v="0.10909090909090909"/>
    <n v="73"/>
  </r>
  <r>
    <n v="3005"/>
    <x v="1"/>
    <x v="0"/>
    <n v="4"/>
    <n v="40"/>
    <n v="15"/>
    <n v="4.3"/>
    <x v="0"/>
    <n v="0"/>
    <n v="0.1"/>
    <n v="55"/>
  </r>
  <r>
    <n v="3006"/>
    <x v="2"/>
    <x v="1"/>
    <n v="7"/>
    <n v="60"/>
    <n v="22"/>
    <n v="3.9"/>
    <x v="1"/>
    <n v="1"/>
    <n v="0.11666666666666667"/>
    <n v="82"/>
  </r>
  <r>
    <n v="3007"/>
    <x v="0"/>
    <x v="1"/>
    <n v="3"/>
    <n v="35"/>
    <n v="14"/>
    <n v="4.5999999999999996"/>
    <x v="0"/>
    <n v="0"/>
    <n v="8.5714285714285715E-2"/>
    <n v="49"/>
  </r>
  <r>
    <n v="3008"/>
    <x v="1"/>
    <x v="2"/>
    <n v="8"/>
    <n v="70"/>
    <n v="25"/>
    <n v="3.8"/>
    <x v="1"/>
    <n v="1"/>
    <n v="0.11428571428571428"/>
    <n v="95"/>
  </r>
  <r>
    <n v="3009"/>
    <x v="2"/>
    <x v="0"/>
    <n v="2"/>
    <n v="20"/>
    <n v="10"/>
    <n v="4.9000000000000004"/>
    <x v="0"/>
    <n v="0"/>
    <n v="0.1"/>
    <n v="30"/>
  </r>
  <r>
    <n v="3010"/>
    <x v="0"/>
    <x v="0"/>
    <n v="5"/>
    <n v="45"/>
    <n v="16"/>
    <n v="4.2"/>
    <x v="1"/>
    <n v="1"/>
    <n v="0.1111111111111111"/>
    <n v="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4.5"/>
    <x v="0"/>
  </r>
  <r>
    <n v="4.2"/>
    <x v="1"/>
  </r>
  <r>
    <n v="4.8"/>
    <x v="0"/>
  </r>
  <r>
    <n v="4"/>
    <x v="1"/>
  </r>
  <r>
    <n v="4.3"/>
    <x v="0"/>
  </r>
  <r>
    <n v="3.9"/>
    <x v="1"/>
  </r>
  <r>
    <n v="4.5999999999999996"/>
    <x v="0"/>
  </r>
  <r>
    <n v="3.8"/>
    <x v="1"/>
  </r>
  <r>
    <n v="4.9000000000000004"/>
    <x v="0"/>
  </r>
  <r>
    <n v="4.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F2834-33FA-472F-A835-8A4B6429AC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staurant">
  <location ref="A3:B7" firstHeaderRow="1" firstDataRow="1" firstDataCol="1"/>
  <pivotFields count="11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ateFlag" fld="8" baseField="0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2571E-CACD-4CC4-B03A-D25D6FFFC3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7" firstHeaderRow="1" firstDataRow="1" firstDataCol="1"/>
  <pivotFields count="11">
    <pivotField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numFmtId="2" showAll="0"/>
    <pivotField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g DeliveryTime_min" fld="4" subtotal="average" baseField="2" baseItem="0" numFmtId="2"/>
  </dataFields>
  <formats count="8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AC841-0A47-4FDA-BF48-5D122EC0612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ateDelivery">
  <location ref="A3:B6" firstHeaderRow="1" firstDataRow="1" firstDataCol="1"/>
  <pivotFields count="2">
    <pivotField dataField="1" showAll="0"/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g DeliveryPartnerRating" fld="0" subtotal="average" baseField="1" baseItem="1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C8C18-8353-423E-A625-717CB3063B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staurant">
  <location ref="A3:B7" firstHeaderRow="1" firstDataRow="1" firstDataCol="1"/>
  <pivotFields count="11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2"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g PrepTime_min" fld="5" subtotal="average" baseField="1" baseItem="0" numFmtId="2"/>
  </dataFields>
  <formats count="8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9FBD-8579-4E32-8459-EF2E7FFC8D98}">
  <sheetPr codeName="Sheet2"/>
  <dimension ref="A3:B15"/>
  <sheetViews>
    <sheetView workbookViewId="0">
      <selection activeCell="L22" sqref="L22"/>
    </sheetView>
  </sheetViews>
  <sheetFormatPr defaultRowHeight="14.4" x14ac:dyDescent="0.3"/>
  <cols>
    <col min="1" max="1" width="41" style="3" bestFit="1" customWidth="1"/>
    <col min="2" max="2" width="20.21875" style="3" bestFit="1" customWidth="1"/>
    <col min="3" max="16384" width="8.88671875" style="3"/>
  </cols>
  <sheetData>
    <row r="3" spans="1:2" x14ac:dyDescent="0.3">
      <c r="A3" s="9" t="s">
        <v>1</v>
      </c>
      <c r="B3" s="3" t="s">
        <v>20</v>
      </c>
    </row>
    <row r="4" spans="1:2" x14ac:dyDescent="0.3">
      <c r="A4" s="3" t="s">
        <v>8</v>
      </c>
      <c r="B4" s="3">
        <v>2</v>
      </c>
    </row>
    <row r="5" spans="1:2" x14ac:dyDescent="0.3">
      <c r="A5" s="3" t="s">
        <v>11</v>
      </c>
      <c r="B5" s="3">
        <v>2</v>
      </c>
    </row>
    <row r="6" spans="1:2" x14ac:dyDescent="0.3">
      <c r="A6" s="3" t="s">
        <v>14</v>
      </c>
      <c r="B6" s="3">
        <v>1</v>
      </c>
    </row>
    <row r="7" spans="1:2" x14ac:dyDescent="0.3">
      <c r="A7" s="3" t="s">
        <v>19</v>
      </c>
      <c r="B7" s="3">
        <v>5</v>
      </c>
    </row>
    <row r="11" spans="1:2" x14ac:dyDescent="0.3">
      <c r="A11" s="10" t="s">
        <v>21</v>
      </c>
      <c r="B11" s="10" t="str" cm="1">
        <f t="array" ref="B11">_xlfn.TEXTJOIN(",",TRUE,_xlfn._xlws.FILTER(A4:A6,B4:B6=MAX(B4:B6)))</f>
        <v>Burger Hub,Pizza Point</v>
      </c>
    </row>
    <row r="15" spans="1:2" x14ac:dyDescent="0.3">
      <c r="A15" s="10" t="s">
        <v>22</v>
      </c>
      <c r="B15" s="10">
        <f>VLOOKUP(A4,A4:B6,2,FALSE)</f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DC63-F5D4-409D-8017-25D52FB5DA43}">
  <sheetPr codeName="Sheet4"/>
  <dimension ref="A3:B15"/>
  <sheetViews>
    <sheetView workbookViewId="0">
      <selection activeCell="M22" sqref="M22"/>
    </sheetView>
  </sheetViews>
  <sheetFormatPr defaultRowHeight="14.4" x14ac:dyDescent="0.3"/>
  <cols>
    <col min="1" max="1" width="27" style="3" bestFit="1" customWidth="1"/>
    <col min="2" max="2" width="20" style="5" bestFit="1" customWidth="1"/>
    <col min="3" max="16384" width="8.88671875" style="3"/>
  </cols>
  <sheetData>
    <row r="3" spans="1:2" x14ac:dyDescent="0.3">
      <c r="A3" s="9" t="s">
        <v>2</v>
      </c>
      <c r="B3" s="5" t="s">
        <v>23</v>
      </c>
    </row>
    <row r="4" spans="1:2" x14ac:dyDescent="0.3">
      <c r="A4" s="3" t="s">
        <v>9</v>
      </c>
      <c r="B4" s="5">
        <v>32</v>
      </c>
    </row>
    <row r="5" spans="1:2" x14ac:dyDescent="0.3">
      <c r="A5" s="3" t="s">
        <v>12</v>
      </c>
      <c r="B5" s="5">
        <v>48.333333333333336</v>
      </c>
    </row>
    <row r="6" spans="1:2" x14ac:dyDescent="0.3">
      <c r="A6" s="3" t="s">
        <v>15</v>
      </c>
      <c r="B6" s="5">
        <v>62.5</v>
      </c>
    </row>
    <row r="7" spans="1:2" x14ac:dyDescent="0.3">
      <c r="A7" s="3" t="s">
        <v>19</v>
      </c>
      <c r="B7" s="5">
        <v>43</v>
      </c>
    </row>
    <row r="11" spans="1:2" x14ac:dyDescent="0.3">
      <c r="A11" s="10" t="s">
        <v>24</v>
      </c>
      <c r="B11" s="11" t="str">
        <f>_xlfn.XLOOKUP(B4,B4:B6,A4:A6,)</f>
        <v>Delhi</v>
      </c>
    </row>
    <row r="15" spans="1:2" x14ac:dyDescent="0.3">
      <c r="A15" s="10" t="s">
        <v>25</v>
      </c>
      <c r="B15" s="11">
        <f>VLOOKUP(A4,A4:B6,2,FALSE)</f>
        <v>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00DB-71E0-441D-948E-5B531EF224F1}">
  <sheetPr codeName="Sheet5"/>
  <dimension ref="A3:B15"/>
  <sheetViews>
    <sheetView tabSelected="1" workbookViewId="0">
      <selection activeCell="L21" sqref="L21"/>
    </sheetView>
  </sheetViews>
  <sheetFormatPr defaultRowHeight="14.4" x14ac:dyDescent="0.3"/>
  <cols>
    <col min="1" max="1" width="40.88671875" style="3" bestFit="1" customWidth="1"/>
    <col min="2" max="2" width="23.33203125" style="3" bestFit="1" customWidth="1"/>
    <col min="3" max="16384" width="8.88671875" style="3"/>
  </cols>
  <sheetData>
    <row r="3" spans="1:2" x14ac:dyDescent="0.3">
      <c r="A3" s="9" t="s">
        <v>7</v>
      </c>
      <c r="B3" s="3" t="s">
        <v>26</v>
      </c>
    </row>
    <row r="4" spans="1:2" x14ac:dyDescent="0.3">
      <c r="A4" s="3" t="s">
        <v>10</v>
      </c>
      <c r="B4" s="3">
        <v>4.62</v>
      </c>
    </row>
    <row r="5" spans="1:2" x14ac:dyDescent="0.3">
      <c r="A5" s="3" t="s">
        <v>13</v>
      </c>
      <c r="B5" s="3">
        <v>4.0199999999999996</v>
      </c>
    </row>
    <row r="6" spans="1:2" x14ac:dyDescent="0.3">
      <c r="A6" s="3" t="s">
        <v>19</v>
      </c>
      <c r="B6" s="3">
        <v>4.32</v>
      </c>
    </row>
    <row r="9" spans="1:2" x14ac:dyDescent="0.3">
      <c r="A9" s="10" t="s">
        <v>29</v>
      </c>
      <c r="B9" s="10" t="str">
        <f>_xlfn.XLOOKUP(B4,B4:B5,A4:A5,)</f>
        <v>No</v>
      </c>
    </row>
    <row r="12" spans="1:2" x14ac:dyDescent="0.3">
      <c r="A12" s="10" t="s">
        <v>28</v>
      </c>
      <c r="B12" s="10">
        <f>VLOOKUP(A4,A4:B5,2,FALSE)</f>
        <v>4.62</v>
      </c>
    </row>
    <row r="15" spans="1:2" x14ac:dyDescent="0.3">
      <c r="A15" s="10" t="s">
        <v>27</v>
      </c>
      <c r="B15" s="10" t="s">
        <v>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2D16-6048-4DC1-A236-8E6BF5577666}">
  <sheetPr codeName="Sheet6"/>
  <dimension ref="A3:B15"/>
  <sheetViews>
    <sheetView workbookViewId="0">
      <selection activeCell="J21" sqref="J21"/>
    </sheetView>
  </sheetViews>
  <sheetFormatPr defaultRowHeight="14.4" x14ac:dyDescent="0.3"/>
  <cols>
    <col min="1" max="1" width="49.6640625" style="3" bestFit="1" customWidth="1"/>
    <col min="2" max="2" width="17" style="5" bestFit="1" customWidth="1"/>
    <col min="3" max="16384" width="8.88671875" style="3"/>
  </cols>
  <sheetData>
    <row r="3" spans="1:2" x14ac:dyDescent="0.3">
      <c r="A3" s="9" t="s">
        <v>1</v>
      </c>
      <c r="B3" s="5" t="s">
        <v>30</v>
      </c>
    </row>
    <row r="4" spans="1:2" x14ac:dyDescent="0.3">
      <c r="A4" s="3" t="s">
        <v>11</v>
      </c>
      <c r="B4" s="5">
        <v>20</v>
      </c>
    </row>
    <row r="5" spans="1:2" x14ac:dyDescent="0.3">
      <c r="A5" s="3" t="s">
        <v>8</v>
      </c>
      <c r="B5" s="5">
        <v>15.75</v>
      </c>
    </row>
    <row r="6" spans="1:2" x14ac:dyDescent="0.3">
      <c r="A6" s="3" t="s">
        <v>14</v>
      </c>
      <c r="B6" s="5">
        <v>14.666666666666666</v>
      </c>
    </row>
    <row r="7" spans="1:2" x14ac:dyDescent="0.3">
      <c r="A7" s="3" t="s">
        <v>19</v>
      </c>
      <c r="B7" s="5">
        <v>16.7</v>
      </c>
    </row>
    <row r="11" spans="1:2" x14ac:dyDescent="0.3">
      <c r="A11" s="10" t="s">
        <v>31</v>
      </c>
      <c r="B11" s="11" t="str">
        <f>_xlfn.XLOOKUP(B4,B4:B6,A4:A6,)</f>
        <v>Pizza Point</v>
      </c>
    </row>
    <row r="15" spans="1:2" x14ac:dyDescent="0.3">
      <c r="A15" s="10" t="s">
        <v>32</v>
      </c>
      <c r="B15" s="11">
        <f>VLOOKUP(A4,A4:B6,2,FALSE)</f>
        <v>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906D-5C29-49EB-8FBC-249458B415EA}">
  <sheetPr codeName="Sheet3"/>
  <dimension ref="A1"/>
  <sheetViews>
    <sheetView workbookViewId="0">
      <selection activeCell="L19" sqref="L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8515-864E-4004-9992-58C9D33036DA}">
  <sheetPr codeName="Sheet1"/>
  <dimension ref="A1:K11"/>
  <sheetViews>
    <sheetView workbookViewId="0">
      <selection activeCell="G18" sqref="G18"/>
    </sheetView>
  </sheetViews>
  <sheetFormatPr defaultRowHeight="14.4" x14ac:dyDescent="0.3"/>
  <cols>
    <col min="1" max="1" width="7.5546875" style="3" bestFit="1" customWidth="1"/>
    <col min="2" max="2" width="11.6640625" style="8" bestFit="1" customWidth="1"/>
    <col min="3" max="3" width="9.21875" style="8" bestFit="1" customWidth="1"/>
    <col min="4" max="4" width="11.77734375" style="3" bestFit="1" customWidth="1"/>
    <col min="5" max="5" width="16.21875" style="3" bestFit="1" customWidth="1"/>
    <col min="6" max="6" width="13.33203125" style="3" bestFit="1" customWidth="1"/>
    <col min="7" max="7" width="19.5546875" style="3" bestFit="1" customWidth="1"/>
    <col min="8" max="8" width="11.33203125" style="8" bestFit="1" customWidth="1"/>
    <col min="9" max="9" width="7.88671875" style="3" bestFit="1" customWidth="1"/>
    <col min="10" max="10" width="13.5546875" style="5" bestFit="1" customWidth="1"/>
    <col min="11" max="11" width="9.77734375" style="3" bestFit="1" customWidth="1"/>
    <col min="12" max="16384" width="8.88671875" style="3"/>
  </cols>
  <sheetData>
    <row r="1" spans="1:11" x14ac:dyDescent="0.3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16</v>
      </c>
      <c r="J1" s="2" t="s">
        <v>17</v>
      </c>
      <c r="K1" s="1" t="s">
        <v>18</v>
      </c>
    </row>
    <row r="2" spans="1:11" x14ac:dyDescent="0.3">
      <c r="A2" s="4">
        <v>3001</v>
      </c>
      <c r="B2" s="7" t="s">
        <v>8</v>
      </c>
      <c r="C2" s="7" t="s">
        <v>9</v>
      </c>
      <c r="D2" s="4">
        <v>3</v>
      </c>
      <c r="E2" s="4">
        <v>30</v>
      </c>
      <c r="F2" s="4">
        <v>15</v>
      </c>
      <c r="G2" s="4">
        <v>4.5</v>
      </c>
      <c r="H2" s="7" t="s">
        <v>10</v>
      </c>
      <c r="I2" s="3">
        <f>IF(H2="Yes",1,0)</f>
        <v>0</v>
      </c>
      <c r="J2" s="5">
        <f>D2/E2</f>
        <v>0.1</v>
      </c>
      <c r="K2" s="3">
        <f>E2+F2</f>
        <v>45</v>
      </c>
    </row>
    <row r="3" spans="1:11" x14ac:dyDescent="0.3">
      <c r="A3" s="4">
        <v>3002</v>
      </c>
      <c r="B3" s="7" t="s">
        <v>11</v>
      </c>
      <c r="C3" s="7" t="s">
        <v>12</v>
      </c>
      <c r="D3" s="4">
        <v>5</v>
      </c>
      <c r="E3" s="4">
        <v>50</v>
      </c>
      <c r="F3" s="4">
        <v>20</v>
      </c>
      <c r="G3" s="4">
        <v>4.2</v>
      </c>
      <c r="H3" s="7" t="s">
        <v>13</v>
      </c>
      <c r="I3" s="3">
        <f t="shared" ref="I3:I11" si="0">IF(H3="Yes",1,0)</f>
        <v>1</v>
      </c>
      <c r="J3" s="5">
        <f t="shared" ref="J3:J11" si="1">D3/E3</f>
        <v>0.1</v>
      </c>
      <c r="K3" s="3">
        <f t="shared" ref="K3:K11" si="2">E3+F3</f>
        <v>70</v>
      </c>
    </row>
    <row r="4" spans="1:11" x14ac:dyDescent="0.3">
      <c r="A4" s="4">
        <v>3003</v>
      </c>
      <c r="B4" s="7" t="s">
        <v>14</v>
      </c>
      <c r="C4" s="7" t="s">
        <v>9</v>
      </c>
      <c r="D4" s="4">
        <v>2</v>
      </c>
      <c r="E4" s="4">
        <v>25</v>
      </c>
      <c r="F4" s="4">
        <v>12</v>
      </c>
      <c r="G4" s="4">
        <v>4.8</v>
      </c>
      <c r="H4" s="7" t="s">
        <v>10</v>
      </c>
      <c r="I4" s="3">
        <f t="shared" si="0"/>
        <v>0</v>
      </c>
      <c r="J4" s="5">
        <f t="shared" si="1"/>
        <v>0.08</v>
      </c>
      <c r="K4" s="3">
        <f t="shared" si="2"/>
        <v>37</v>
      </c>
    </row>
    <row r="5" spans="1:11" x14ac:dyDescent="0.3">
      <c r="A5" s="4">
        <v>3004</v>
      </c>
      <c r="B5" s="7" t="s">
        <v>8</v>
      </c>
      <c r="C5" s="7" t="s">
        <v>15</v>
      </c>
      <c r="D5" s="4">
        <v>6</v>
      </c>
      <c r="E5" s="4">
        <v>55</v>
      </c>
      <c r="F5" s="4">
        <v>18</v>
      </c>
      <c r="G5" s="4">
        <v>4</v>
      </c>
      <c r="H5" s="7" t="s">
        <v>13</v>
      </c>
      <c r="I5" s="3">
        <f t="shared" si="0"/>
        <v>1</v>
      </c>
      <c r="J5" s="5">
        <f t="shared" si="1"/>
        <v>0.10909090909090909</v>
      </c>
      <c r="K5" s="3">
        <f t="shared" si="2"/>
        <v>73</v>
      </c>
    </row>
    <row r="6" spans="1:11" x14ac:dyDescent="0.3">
      <c r="A6" s="4">
        <v>3005</v>
      </c>
      <c r="B6" s="7" t="s">
        <v>11</v>
      </c>
      <c r="C6" s="7" t="s">
        <v>9</v>
      </c>
      <c r="D6" s="4">
        <v>4</v>
      </c>
      <c r="E6" s="4">
        <v>40</v>
      </c>
      <c r="F6" s="4">
        <v>15</v>
      </c>
      <c r="G6" s="4">
        <v>4.3</v>
      </c>
      <c r="H6" s="7" t="s">
        <v>10</v>
      </c>
      <c r="I6" s="3">
        <f t="shared" si="0"/>
        <v>0</v>
      </c>
      <c r="J6" s="5">
        <f t="shared" si="1"/>
        <v>0.1</v>
      </c>
      <c r="K6" s="3">
        <f t="shared" si="2"/>
        <v>55</v>
      </c>
    </row>
    <row r="7" spans="1:11" x14ac:dyDescent="0.3">
      <c r="A7" s="4">
        <v>3006</v>
      </c>
      <c r="B7" s="7" t="s">
        <v>14</v>
      </c>
      <c r="C7" s="7" t="s">
        <v>12</v>
      </c>
      <c r="D7" s="4">
        <v>7</v>
      </c>
      <c r="E7" s="4">
        <v>60</v>
      </c>
      <c r="F7" s="4">
        <v>22</v>
      </c>
      <c r="G7" s="4">
        <v>3.9</v>
      </c>
      <c r="H7" s="7" t="s">
        <v>13</v>
      </c>
      <c r="I7" s="3">
        <f t="shared" si="0"/>
        <v>1</v>
      </c>
      <c r="J7" s="5">
        <f t="shared" si="1"/>
        <v>0.11666666666666667</v>
      </c>
      <c r="K7" s="3">
        <f t="shared" si="2"/>
        <v>82</v>
      </c>
    </row>
    <row r="8" spans="1:11" x14ac:dyDescent="0.3">
      <c r="A8" s="4">
        <v>3007</v>
      </c>
      <c r="B8" s="7" t="s">
        <v>8</v>
      </c>
      <c r="C8" s="7" t="s">
        <v>12</v>
      </c>
      <c r="D8" s="4">
        <v>3</v>
      </c>
      <c r="E8" s="4">
        <v>35</v>
      </c>
      <c r="F8" s="4">
        <v>14</v>
      </c>
      <c r="G8" s="4">
        <v>4.5999999999999996</v>
      </c>
      <c r="H8" s="7" t="s">
        <v>10</v>
      </c>
      <c r="I8" s="3">
        <f t="shared" si="0"/>
        <v>0</v>
      </c>
      <c r="J8" s="5">
        <f t="shared" si="1"/>
        <v>8.5714285714285715E-2</v>
      </c>
      <c r="K8" s="3">
        <f t="shared" si="2"/>
        <v>49</v>
      </c>
    </row>
    <row r="9" spans="1:11" x14ac:dyDescent="0.3">
      <c r="A9" s="4">
        <v>3008</v>
      </c>
      <c r="B9" s="7" t="s">
        <v>11</v>
      </c>
      <c r="C9" s="7" t="s">
        <v>15</v>
      </c>
      <c r="D9" s="4">
        <v>8</v>
      </c>
      <c r="E9" s="4">
        <v>70</v>
      </c>
      <c r="F9" s="4">
        <v>25</v>
      </c>
      <c r="G9" s="4">
        <v>3.8</v>
      </c>
      <c r="H9" s="7" t="s">
        <v>13</v>
      </c>
      <c r="I9" s="3">
        <f t="shared" si="0"/>
        <v>1</v>
      </c>
      <c r="J9" s="5">
        <f t="shared" si="1"/>
        <v>0.11428571428571428</v>
      </c>
      <c r="K9" s="3">
        <f t="shared" si="2"/>
        <v>95</v>
      </c>
    </row>
    <row r="10" spans="1:11" x14ac:dyDescent="0.3">
      <c r="A10" s="4">
        <v>3009</v>
      </c>
      <c r="B10" s="7" t="s">
        <v>14</v>
      </c>
      <c r="C10" s="7" t="s">
        <v>9</v>
      </c>
      <c r="D10" s="4">
        <v>2</v>
      </c>
      <c r="E10" s="4">
        <v>20</v>
      </c>
      <c r="F10" s="4">
        <v>10</v>
      </c>
      <c r="G10" s="4">
        <v>4.9000000000000004</v>
      </c>
      <c r="H10" s="7" t="s">
        <v>10</v>
      </c>
      <c r="I10" s="3">
        <f t="shared" si="0"/>
        <v>0</v>
      </c>
      <c r="J10" s="5">
        <f t="shared" si="1"/>
        <v>0.1</v>
      </c>
      <c r="K10" s="3">
        <f t="shared" si="2"/>
        <v>30</v>
      </c>
    </row>
    <row r="11" spans="1:11" x14ac:dyDescent="0.3">
      <c r="A11" s="4">
        <v>3010</v>
      </c>
      <c r="B11" s="7" t="s">
        <v>8</v>
      </c>
      <c r="C11" s="7" t="s">
        <v>9</v>
      </c>
      <c r="D11" s="4">
        <v>5</v>
      </c>
      <c r="E11" s="4">
        <v>45</v>
      </c>
      <c r="F11" s="4">
        <v>16</v>
      </c>
      <c r="G11" s="4">
        <v>4.2</v>
      </c>
      <c r="H11" s="7" t="s">
        <v>13</v>
      </c>
      <c r="I11" s="3">
        <f t="shared" si="0"/>
        <v>1</v>
      </c>
      <c r="J11" s="5">
        <f t="shared" si="1"/>
        <v>0.1111111111111111</v>
      </c>
      <c r="K11" s="3">
        <f t="shared" si="2"/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Late Deliveries by Restaurant</vt:lpstr>
      <vt:lpstr>Avg Delivery Time by City</vt:lpstr>
      <vt:lpstr>Avg DeliveryPatnerRating by Lat</vt:lpstr>
      <vt:lpstr>Avg Preparation time by Restaur</vt:lpstr>
      <vt:lpstr>DeliveryTime_min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2026-04-21T07:26:32Z</dcterms:created>
  <dcterms:modified xsi:type="dcterms:W3CDTF">2026-04-21T12:56:26Z</dcterms:modified>
</cp:coreProperties>
</file>