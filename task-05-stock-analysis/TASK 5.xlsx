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5\"/>
    </mc:Choice>
  </mc:AlternateContent>
  <xr:revisionPtr revIDLastSave="0" documentId="8_{912B9FA7-C48C-4C2E-83DB-C842AEB1A7F3}" xr6:coauthVersionLast="47" xr6:coauthVersionMax="47" xr10:uidLastSave="{00000000-0000-0000-0000-000000000000}"/>
  <bookViews>
    <workbookView xWindow="3240" yWindow="3240" windowWidth="17280" windowHeight="8964" firstSheet="3" activeTab="5" xr2:uid="{04E7780A-1309-483F-A478-4733F0A8ABC3}"/>
  </bookViews>
  <sheets>
    <sheet name="StockQty by Warehouse" sheetId="4" r:id="rId1"/>
    <sheet name="Count of Category by Stock" sheetId="3" r:id="rId2"/>
    <sheet name="StocksQty by Category" sheetId="2" r:id="rId3"/>
    <sheet name="Units sold by WareHouse" sheetId="5" r:id="rId4"/>
    <sheet name="Avg ShippingDays by Product" sheetId="6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6" l="1"/>
  <c r="B9" i="3"/>
  <c r="B11" i="5"/>
  <c r="B11" i="4"/>
  <c r="B9" i="2"/>
  <c r="I3" i="1"/>
  <c r="I4" i="1"/>
  <c r="I5" i="1"/>
  <c r="I6" i="1"/>
  <c r="I7" i="1"/>
  <c r="I8" i="1"/>
  <c r="I9" i="1"/>
  <c r="I10" i="1"/>
  <c r="I11" i="1"/>
  <c r="I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<sst xmlns="http://schemas.openxmlformats.org/spreadsheetml/2006/main" count="80" uniqueCount="37">
  <si>
    <t>ProductID</t>
  </si>
  <si>
    <t>Product</t>
  </si>
  <si>
    <t>Category</t>
  </si>
  <si>
    <t>Warehouse</t>
  </si>
  <si>
    <t>StockQty</t>
  </si>
  <si>
    <t>ReorderLevel</t>
  </si>
  <si>
    <t>UnitsSold_Last30Days</t>
  </si>
  <si>
    <t>SupplierLeadTime_days</t>
  </si>
  <si>
    <t>Laptop</t>
  </si>
  <si>
    <t>Electronics</t>
  </si>
  <si>
    <t>WH1</t>
  </si>
  <si>
    <t>Mouse</t>
  </si>
  <si>
    <t>Chair</t>
  </si>
  <si>
    <t>Furniture</t>
  </si>
  <si>
    <t>WH2</t>
  </si>
  <si>
    <t>Desk</t>
  </si>
  <si>
    <t>Monitor</t>
  </si>
  <si>
    <t>Keyboard</t>
  </si>
  <si>
    <t>WH3</t>
  </si>
  <si>
    <t>Table</t>
  </si>
  <si>
    <t>Printer</t>
  </si>
  <si>
    <t>Sofa</t>
  </si>
  <si>
    <t>Router</t>
  </si>
  <si>
    <t>StockStatus</t>
  </si>
  <si>
    <t>StockTurnover</t>
  </si>
  <si>
    <t>Grand Total</t>
  </si>
  <si>
    <t>Sum of StockQty</t>
  </si>
  <si>
    <t>Which category has highest Quantity</t>
  </si>
  <si>
    <t>Normal</t>
  </si>
  <si>
    <t>Over stocked</t>
  </si>
  <si>
    <t>Count of Category</t>
  </si>
  <si>
    <t>Which WareHouse has to improve StockQty mainly</t>
  </si>
  <si>
    <t>How many categories are Overly stocked</t>
  </si>
  <si>
    <t>Sum of UnitsSold_Last30Days</t>
  </si>
  <si>
    <t>Which Category sold Avg Units</t>
  </si>
  <si>
    <t>Avg of SupplierLeadTime_days</t>
  </si>
  <si>
    <t>Which product has the lower shipping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</si>
</sst>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5.xlsx]StockQty by Warehouse!PivotTable3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StockQty</a:t>
            </a:r>
            <a:r>
              <a:rPr lang="en-IN" b="1" baseline="0"/>
              <a:t> by Warehouse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'StockQty by Warehouse'!$B$3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'StockQty by Warehouse'!$A$4:$A$7</c:f>
              <c:strCache>
                <c:ptCount val="3"/>
                <c:pt idx="0">
                  <c:v>WH1</c:v>
                </c:pt>
                <c:pt idx="1">
                  <c:v>WH3</c:v>
                </c:pt>
                <c:pt idx="2">
                  <c:v>WH2</c:v>
                </c:pt>
              </c:strCache>
            </c:strRef>
          </c:cat>
          <c:val>
            <c:numRef>
              <c:f>'StockQty by Warehouse'!$B$4:$B$7</c:f>
              <c:numCache>
                <c:formatCode>General</c:formatCode>
                <c:ptCount val="3"/>
                <c:pt idx="0">
                  <c:v>430</c:v>
                </c:pt>
                <c:pt idx="1">
                  <c:v>190</c:v>
                </c:pt>
                <c:pt idx="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5-498D-A433-603A0B3D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518575"/>
        <c:axId val="830519535"/>
      </c:barChart>
      <c:catAx>
        <c:axId val="8305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19535"/>
        <c:crosses val="autoZero"/>
        <c:auto val="1"/>
        <c:lblAlgn val="ctr"/>
        <c:lblOffset val="100"/>
        <c:noMultiLvlLbl val="0"/>
      </c:catAx>
      <c:valAx>
        <c:axId val="83051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1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5.xlsx]Count of Category by Stock!PivotTable2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Count</a:t>
            </a:r>
            <a:r>
              <a:rPr lang="en-US" b="1" baseline="0"/>
              <a:t> of Category by StockStatus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 of Category by Stock'!$B$3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of Category by Stock'!$A$4:$A$6</c:f>
              <c:strCache>
                <c:ptCount val="2"/>
                <c:pt idx="0">
                  <c:v>Normal</c:v>
                </c:pt>
                <c:pt idx="1">
                  <c:v>Over stocked</c:v>
                </c:pt>
              </c:strCache>
            </c:strRef>
          </c:cat>
          <c:val>
            <c:numRef>
              <c:f>'Count of Category by Stock'!$B$4:$B$6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B-4FB4-9069-21AB65492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0508015"/>
        <c:axId val="830496495"/>
      </c:barChart>
      <c:catAx>
        <c:axId val="83050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96495"/>
        <c:crosses val="autoZero"/>
        <c:auto val="1"/>
        <c:lblAlgn val="ctr"/>
        <c:lblOffset val="100"/>
        <c:noMultiLvlLbl val="0"/>
      </c:catAx>
      <c:valAx>
        <c:axId val="83049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0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5.xlsx]StocksQty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StocksQty</a:t>
            </a:r>
            <a:r>
              <a:rPr lang="en-US" b="1" baseline="0"/>
              <a:t>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'StocksQty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6-4B95-BB15-4F2A2955F8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6-4B95-BB15-4F2A2955F870}"/>
              </c:ext>
            </c:extLst>
          </c:dPt>
          <c:cat>
            <c:strRef>
              <c:f>'StocksQty by Category'!$A$4:$A$6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'StocksQty by Category'!$B$4:$B$6</c:f>
              <c:numCache>
                <c:formatCode>General</c:formatCode>
                <c:ptCount val="2"/>
                <c:pt idx="0">
                  <c:v>620</c:v>
                </c:pt>
                <c:pt idx="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A-444D-A181-0426E9851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5.xlsx]Units sold by WareHouse!PivotTable4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Units</a:t>
            </a:r>
            <a:r>
              <a:rPr lang="en-US" b="1" baseline="0"/>
              <a:t> sold by WareHouse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659155813070535E-2"/>
          <c:y val="0.14292870905587671"/>
          <c:w val="0.93572029911355403"/>
          <c:h val="0.7869430916511158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'Units sold by WareHouse'!$B$3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'Units sold by WareHouse'!$A$4:$A$7</c:f>
              <c:strCache>
                <c:ptCount val="3"/>
                <c:pt idx="0">
                  <c:v>WH1</c:v>
                </c:pt>
                <c:pt idx="1">
                  <c:v>WH3</c:v>
                </c:pt>
                <c:pt idx="2">
                  <c:v>WH2</c:v>
                </c:pt>
              </c:strCache>
            </c:strRef>
          </c:cat>
          <c:val>
            <c:numRef>
              <c:f>'Units sold by WareHouse'!$B$4:$B$7</c:f>
              <c:numCache>
                <c:formatCode>General</c:formatCode>
                <c:ptCount val="3"/>
                <c:pt idx="0">
                  <c:v>245</c:v>
                </c:pt>
                <c:pt idx="1">
                  <c:v>98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5-4313-BBFB-EB770CA1C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830463375"/>
        <c:axId val="830468655"/>
        <c:axId val="0"/>
      </c:bar3DChart>
      <c:catAx>
        <c:axId val="83046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68655"/>
        <c:crosses val="autoZero"/>
        <c:auto val="1"/>
        <c:lblAlgn val="ctr"/>
        <c:lblOffset val="100"/>
        <c:noMultiLvlLbl val="0"/>
      </c:catAx>
      <c:valAx>
        <c:axId val="8304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6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5.xlsx]Avg ShippingDays by Product!PivotTable5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</a:t>
            </a:r>
            <a:r>
              <a:rPr lang="en-US" b="1" baseline="0"/>
              <a:t> ShippingDays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'Avg ShippingDays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ShippingDays by Product'!$A$4:$A$14</c:f>
              <c:strCache>
                <c:ptCount val="10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Router</c:v>
                </c:pt>
                <c:pt idx="8">
                  <c:v>Sofa</c:v>
                </c:pt>
                <c:pt idx="9">
                  <c:v>Table</c:v>
                </c:pt>
              </c:strCache>
            </c:strRef>
          </c:cat>
          <c:val>
            <c:numRef>
              <c:f>'Avg ShippingDays by Product'!$B$4:$B$14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3</c:v>
                </c:pt>
                <c:pt idx="6">
                  <c:v>10</c:v>
                </c:pt>
                <c:pt idx="7">
                  <c:v>6</c:v>
                </c:pt>
                <c:pt idx="8">
                  <c:v>20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9-431A-A23E-38CE70BAA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477295"/>
        <c:axId val="830476815"/>
      </c:lineChart>
      <c:catAx>
        <c:axId val="83047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76815"/>
        <c:crosses val="autoZero"/>
        <c:auto val="1"/>
        <c:lblAlgn val="ctr"/>
        <c:lblOffset val="100"/>
        <c:noMultiLvlLbl val="0"/>
      </c:catAx>
      <c:valAx>
        <c:axId val="8304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7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171450</xdr:rowOff>
    </xdr:from>
    <xdr:to>
      <xdr:col>12</xdr:col>
      <xdr:colOff>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63F7A-A5AF-A4CA-AE0C-E6B4D4D1C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179070</xdr:rowOff>
    </xdr:from>
    <xdr:to>
      <xdr:col>13</xdr:col>
      <xdr:colOff>594360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AC409-3267-0A50-9D2E-E43C47E36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156210</xdr:rowOff>
    </xdr:from>
    <xdr:to>
      <xdr:col>11</xdr:col>
      <xdr:colOff>22860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A59B2-25F1-A7CD-F2FA-2D896D105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2</xdr:row>
      <xdr:rowOff>179070</xdr:rowOff>
    </xdr:from>
    <xdr:to>
      <xdr:col>12</xdr:col>
      <xdr:colOff>601980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285F6-1120-3BE3-E86B-C01F0FF19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3810</xdr:rowOff>
    </xdr:from>
    <xdr:to>
      <xdr:col>13</xdr:col>
      <xdr:colOff>15240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C9CA0-1DCD-000A-6795-08149ECF7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5.702143287039" createdVersion="8" refreshedVersion="8" minRefreshableVersion="3" recordCount="10" xr:uid="{396D2B9B-E8F8-45D7-A928-7B2C2358DA58}">
  <cacheSource type="worksheet">
    <worksheetSource ref="A1:J11" sheet="Dataset"/>
  </cacheSource>
  <cacheFields count="10">
    <cacheField name="ProductID" numFmtId="0">
      <sharedItems containsSemiMixedTypes="0" containsString="0" containsNumber="1" containsInteger="1" minValue="1001" maxValue="1010"/>
    </cacheField>
    <cacheField name="Product" numFmtId="0">
      <sharedItems count="10">
        <s v="Laptop"/>
        <s v="Mouse"/>
        <s v="Chair"/>
        <s v="Desk"/>
        <s v="Monitor"/>
        <s v="Keyboard"/>
        <s v="Table"/>
        <s v="Printer"/>
        <s v="Sofa"/>
        <s v="Router"/>
      </sharedItems>
    </cacheField>
    <cacheField name="Category" numFmtId="0">
      <sharedItems count="2">
        <s v="Electronics"/>
        <s v="Furniture"/>
      </sharedItems>
    </cacheField>
    <cacheField name="Warehouse" numFmtId="0">
      <sharedItems count="3">
        <s v="WH1"/>
        <s v="WH2"/>
        <s v="WH3"/>
      </sharedItems>
    </cacheField>
    <cacheField name="StockQty" numFmtId="0">
      <sharedItems containsSemiMixedTypes="0" containsString="0" containsNumber="1" containsInteger="1" minValue="10" maxValue="200"/>
    </cacheField>
    <cacheField name="ReorderLevel" numFmtId="0">
      <sharedItems containsSemiMixedTypes="0" containsString="0" containsNumber="1" containsInteger="1" minValue="10" maxValue="60"/>
    </cacheField>
    <cacheField name="UnitsSold_Last30Days" numFmtId="0">
      <sharedItems containsSemiMixedTypes="0" containsString="0" containsNumber="1" containsInteger="1" minValue="2" maxValue="120"/>
    </cacheField>
    <cacheField name="SupplierLeadTime_days" numFmtId="0">
      <sharedItems containsSemiMixedTypes="0" containsString="0" containsNumber="1" containsInteger="1" minValue="3" maxValue="20"/>
    </cacheField>
    <cacheField name="StockStatus" numFmtId="0">
      <sharedItems count="2">
        <s v="Normal"/>
        <s v="Over stocked"/>
      </sharedItems>
    </cacheField>
    <cacheField name="StockTurnover" numFmtId="2">
      <sharedItems containsSemiMixedTypes="0" containsString="0" containsNumber="1" minValue="0.2" maxValue="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n v="50"/>
    <n v="20"/>
    <n v="30"/>
    <n v="7"/>
    <x v="0"/>
    <n v="0.6"/>
  </r>
  <r>
    <n v="1002"/>
    <x v="1"/>
    <x v="0"/>
    <x v="0"/>
    <n v="200"/>
    <n v="50"/>
    <n v="120"/>
    <n v="3"/>
    <x v="0"/>
    <n v="0.6"/>
  </r>
  <r>
    <n v="1003"/>
    <x v="2"/>
    <x v="1"/>
    <x v="1"/>
    <n v="80"/>
    <n v="40"/>
    <n v="20"/>
    <n v="10"/>
    <x v="1"/>
    <n v="0.25"/>
  </r>
  <r>
    <n v="1004"/>
    <x v="3"/>
    <x v="1"/>
    <x v="1"/>
    <n v="30"/>
    <n v="25"/>
    <n v="10"/>
    <n v="12"/>
    <x v="1"/>
    <n v="0.33333333333333331"/>
  </r>
  <r>
    <n v="1005"/>
    <x v="4"/>
    <x v="0"/>
    <x v="0"/>
    <n v="60"/>
    <n v="30"/>
    <n v="25"/>
    <n v="8"/>
    <x v="1"/>
    <n v="0.41666666666666669"/>
  </r>
  <r>
    <n v="1006"/>
    <x v="5"/>
    <x v="0"/>
    <x v="2"/>
    <n v="150"/>
    <n v="40"/>
    <n v="90"/>
    <n v="5"/>
    <x v="0"/>
    <n v="0.6"/>
  </r>
  <r>
    <n v="1007"/>
    <x v="6"/>
    <x v="1"/>
    <x v="1"/>
    <n v="25"/>
    <n v="20"/>
    <n v="5"/>
    <n v="15"/>
    <x v="1"/>
    <n v="0.2"/>
  </r>
  <r>
    <n v="1008"/>
    <x v="7"/>
    <x v="0"/>
    <x v="2"/>
    <n v="40"/>
    <n v="15"/>
    <n v="8"/>
    <n v="10"/>
    <x v="1"/>
    <n v="0.2"/>
  </r>
  <r>
    <n v="1009"/>
    <x v="8"/>
    <x v="1"/>
    <x v="1"/>
    <n v="10"/>
    <n v="10"/>
    <n v="2"/>
    <n v="20"/>
    <x v="1"/>
    <n v="0.2"/>
  </r>
  <r>
    <n v="1010"/>
    <x v="9"/>
    <x v="0"/>
    <x v="0"/>
    <n v="120"/>
    <n v="60"/>
    <n v="70"/>
    <n v="6"/>
    <x v="0"/>
    <n v="0.58333333333333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E5C72-526A-40D7-87EC-6605AB1C93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arehouse">
  <location ref="A3:B7" firstHeaderRow="1" firstDataRow="1" firstDataCol="1"/>
  <pivotFields count="10"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numFmtId="2" showAll="0"/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StockQty" fld="4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4D2DB-4B3C-4333-8E1E-81793B4001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ockStatus">
  <location ref="A3:B6" firstHeaderRow="1" firstDataRow="1" firstDataCol="1"/>
  <pivotFields count="10">
    <pivotField showAll="0"/>
    <pivotField showAll="0"/>
    <pivotField dataField="1"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2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Category" fld="2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13758-C48E-43D4-9E83-9167B1503B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6" firstHeaderRow="1" firstDataRow="1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2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tockQty" fld="4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86F93-1087-4573-AC31-AA646D0908B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arehouse">
  <location ref="A3:B7" firstHeaderRow="1" firstDataRow="1" firstDataCol="1"/>
  <pivotFields count="10"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numFmtId="2" showAll="0"/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UnitsSold_Last30Days" fld="6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7512A-1AA2-4771-9D11-DFBA4646441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A3:B14" firstHeaderRow="1" firstDataRow="1" firstDataCol="1"/>
  <pivotFields count="10">
    <pivotField showAll="0"/>
    <pivotField axis="axisRow" showAll="0">
      <items count="11">
        <item x="2"/>
        <item x="3"/>
        <item x="5"/>
        <item x="0"/>
        <item x="4"/>
        <item x="1"/>
        <item x="7"/>
        <item x="9"/>
        <item x="8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2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g of SupplierLeadTime_days" fld="7" subtotal="average" baseField="1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1185-89A1-41B9-8E21-665B838E1292}">
  <dimension ref="A3:B11"/>
  <sheetViews>
    <sheetView topLeftCell="B1" workbookViewId="0">
      <selection activeCell="B17" sqref="B17"/>
    </sheetView>
  </sheetViews>
  <sheetFormatPr defaultRowHeight="14.4" x14ac:dyDescent="0.3"/>
  <cols>
    <col min="1" max="1" width="43.109375" style="7" bestFit="1" customWidth="1"/>
    <col min="2" max="2" width="15.21875" style="7" bestFit="1" customWidth="1"/>
    <col min="3" max="16384" width="8.88671875" style="7"/>
  </cols>
  <sheetData>
    <row r="3" spans="1:2" x14ac:dyDescent="0.3">
      <c r="A3" s="6" t="s">
        <v>3</v>
      </c>
      <c r="B3" s="7" t="s">
        <v>26</v>
      </c>
    </row>
    <row r="4" spans="1:2" x14ac:dyDescent="0.3">
      <c r="A4" s="7" t="s">
        <v>10</v>
      </c>
      <c r="B4" s="7">
        <v>430</v>
      </c>
    </row>
    <row r="5" spans="1:2" x14ac:dyDescent="0.3">
      <c r="A5" s="7" t="s">
        <v>18</v>
      </c>
      <c r="B5" s="7">
        <v>190</v>
      </c>
    </row>
    <row r="6" spans="1:2" x14ac:dyDescent="0.3">
      <c r="A6" s="7" t="s">
        <v>14</v>
      </c>
      <c r="B6" s="7">
        <v>145</v>
      </c>
    </row>
    <row r="7" spans="1:2" x14ac:dyDescent="0.3">
      <c r="A7" s="7" t="s">
        <v>25</v>
      </c>
      <c r="B7" s="7">
        <v>765</v>
      </c>
    </row>
    <row r="11" spans="1:2" x14ac:dyDescent="0.3">
      <c r="A11" s="8" t="s">
        <v>31</v>
      </c>
      <c r="B11" s="8" t="str">
        <f>_xlfn.XLOOKUP(MIN(B4:B6),B4:B6,A4:A6,,0)</f>
        <v>WH2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0151-A546-4A9E-80D3-9A198BD5B04C}">
  <dimension ref="A3:B9"/>
  <sheetViews>
    <sheetView workbookViewId="0">
      <selection activeCell="D8" sqref="D8"/>
    </sheetView>
  </sheetViews>
  <sheetFormatPr defaultRowHeight="14.4" x14ac:dyDescent="0.3"/>
  <cols>
    <col min="1" max="1" width="34.77734375" style="7" bestFit="1" customWidth="1"/>
    <col min="2" max="2" width="16.44140625" style="7" bestFit="1" customWidth="1"/>
    <col min="3" max="16384" width="8.88671875" style="7"/>
  </cols>
  <sheetData>
    <row r="3" spans="1:2" x14ac:dyDescent="0.3">
      <c r="A3" s="6" t="s">
        <v>23</v>
      </c>
      <c r="B3" s="7" t="s">
        <v>30</v>
      </c>
    </row>
    <row r="4" spans="1:2" x14ac:dyDescent="0.3">
      <c r="A4" s="7" t="s">
        <v>28</v>
      </c>
      <c r="B4" s="7">
        <v>4</v>
      </c>
    </row>
    <row r="5" spans="1:2" x14ac:dyDescent="0.3">
      <c r="A5" s="7" t="s">
        <v>29</v>
      </c>
      <c r="B5" s="7">
        <v>6</v>
      </c>
    </row>
    <row r="6" spans="1:2" x14ac:dyDescent="0.3">
      <c r="A6" s="7" t="s">
        <v>25</v>
      </c>
      <c r="B6" s="7">
        <v>10</v>
      </c>
    </row>
    <row r="9" spans="1:2" x14ac:dyDescent="0.3">
      <c r="A9" s="8" t="s">
        <v>32</v>
      </c>
      <c r="B9" s="8">
        <f>VLOOKUP(A5,A4:B6,2,TRUE)</f>
        <v>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8D97-E652-4FC9-A088-F454F58AAB9B}">
  <dimension ref="A3:B9"/>
  <sheetViews>
    <sheetView workbookViewId="0">
      <selection activeCell="L11" sqref="L11"/>
    </sheetView>
  </sheetViews>
  <sheetFormatPr defaultRowHeight="14.4" x14ac:dyDescent="0.3"/>
  <cols>
    <col min="1" max="1" width="31.109375" style="7" bestFit="1" customWidth="1"/>
    <col min="2" max="2" width="15.21875" style="7" bestFit="1" customWidth="1"/>
    <col min="3" max="16384" width="8.88671875" style="7"/>
  </cols>
  <sheetData>
    <row r="3" spans="1:2" x14ac:dyDescent="0.3">
      <c r="A3" s="6" t="s">
        <v>2</v>
      </c>
      <c r="B3" s="7" t="s">
        <v>26</v>
      </c>
    </row>
    <row r="4" spans="1:2" x14ac:dyDescent="0.3">
      <c r="A4" s="7" t="s">
        <v>9</v>
      </c>
      <c r="B4" s="7">
        <v>620</v>
      </c>
    </row>
    <row r="5" spans="1:2" x14ac:dyDescent="0.3">
      <c r="A5" s="7" t="s">
        <v>13</v>
      </c>
      <c r="B5" s="7">
        <v>145</v>
      </c>
    </row>
    <row r="6" spans="1:2" x14ac:dyDescent="0.3">
      <c r="A6" s="7" t="s">
        <v>25</v>
      </c>
      <c r="B6" s="7">
        <v>765</v>
      </c>
    </row>
    <row r="9" spans="1:2" x14ac:dyDescent="0.3">
      <c r="A9" s="8" t="s">
        <v>27</v>
      </c>
      <c r="B9" s="8" t="str">
        <f>_xlfn.XLOOKUP(MAX(B4:B5),B4:B5,A4:A5,,0)</f>
        <v>Electronics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5E2C-A216-4D19-B5AB-0C63BCD6239B}">
  <dimension ref="A3:B11"/>
  <sheetViews>
    <sheetView workbookViewId="0">
      <selection activeCell="E16" sqref="E16"/>
    </sheetView>
  </sheetViews>
  <sheetFormatPr defaultRowHeight="14.4" x14ac:dyDescent="0.3"/>
  <cols>
    <col min="1" max="2" width="26.21875" style="7" bestFit="1" customWidth="1"/>
    <col min="3" max="16384" width="8.88671875" style="7"/>
  </cols>
  <sheetData>
    <row r="3" spans="1:2" x14ac:dyDescent="0.3">
      <c r="A3" s="6" t="s">
        <v>3</v>
      </c>
      <c r="B3" s="7" t="s">
        <v>33</v>
      </c>
    </row>
    <row r="4" spans="1:2" x14ac:dyDescent="0.3">
      <c r="A4" s="7" t="s">
        <v>10</v>
      </c>
      <c r="B4" s="7">
        <v>245</v>
      </c>
    </row>
    <row r="5" spans="1:2" x14ac:dyDescent="0.3">
      <c r="A5" s="7" t="s">
        <v>18</v>
      </c>
      <c r="B5" s="7">
        <v>98</v>
      </c>
    </row>
    <row r="6" spans="1:2" x14ac:dyDescent="0.3">
      <c r="A6" s="7" t="s">
        <v>14</v>
      </c>
      <c r="B6" s="7">
        <v>37</v>
      </c>
    </row>
    <row r="7" spans="1:2" x14ac:dyDescent="0.3">
      <c r="A7" s="7" t="s">
        <v>25</v>
      </c>
      <c r="B7" s="7">
        <v>380</v>
      </c>
    </row>
    <row r="11" spans="1:2" x14ac:dyDescent="0.3">
      <c r="A11" s="8" t="s">
        <v>34</v>
      </c>
      <c r="B11" s="8" t="str">
        <f>_xlfn.XLOOKUP(MEDIAN(B4:B6),B4:B6,A4:A6,,0)</f>
        <v>WH3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F854-3FE3-4588-B0F6-AA6AAC775401}">
  <dimension ref="A3:B17"/>
  <sheetViews>
    <sheetView workbookViewId="0">
      <selection activeCell="A20" sqref="A20"/>
    </sheetView>
  </sheetViews>
  <sheetFormatPr defaultRowHeight="14.4" x14ac:dyDescent="0.3"/>
  <cols>
    <col min="1" max="1" width="36.109375" style="7" bestFit="1" customWidth="1"/>
    <col min="2" max="2" width="27.21875" style="7" bestFit="1" customWidth="1"/>
    <col min="3" max="16384" width="8.88671875" style="7"/>
  </cols>
  <sheetData>
    <row r="3" spans="1:2" x14ac:dyDescent="0.3">
      <c r="A3" s="6" t="s">
        <v>1</v>
      </c>
      <c r="B3" s="7" t="s">
        <v>35</v>
      </c>
    </row>
    <row r="4" spans="1:2" x14ac:dyDescent="0.3">
      <c r="A4" s="7" t="s">
        <v>12</v>
      </c>
      <c r="B4" s="7">
        <v>10</v>
      </c>
    </row>
    <row r="5" spans="1:2" x14ac:dyDescent="0.3">
      <c r="A5" s="7" t="s">
        <v>15</v>
      </c>
      <c r="B5" s="7">
        <v>12</v>
      </c>
    </row>
    <row r="6" spans="1:2" x14ac:dyDescent="0.3">
      <c r="A6" s="7" t="s">
        <v>17</v>
      </c>
      <c r="B6" s="7">
        <v>5</v>
      </c>
    </row>
    <row r="7" spans="1:2" x14ac:dyDescent="0.3">
      <c r="A7" s="7" t="s">
        <v>8</v>
      </c>
      <c r="B7" s="7">
        <v>7</v>
      </c>
    </row>
    <row r="8" spans="1:2" x14ac:dyDescent="0.3">
      <c r="A8" s="7" t="s">
        <v>16</v>
      </c>
      <c r="B8" s="7">
        <v>8</v>
      </c>
    </row>
    <row r="9" spans="1:2" x14ac:dyDescent="0.3">
      <c r="A9" s="7" t="s">
        <v>11</v>
      </c>
      <c r="B9" s="7">
        <v>3</v>
      </c>
    </row>
    <row r="10" spans="1:2" x14ac:dyDescent="0.3">
      <c r="A10" s="7" t="s">
        <v>20</v>
      </c>
      <c r="B10" s="7">
        <v>10</v>
      </c>
    </row>
    <row r="11" spans="1:2" x14ac:dyDescent="0.3">
      <c r="A11" s="7" t="s">
        <v>22</v>
      </c>
      <c r="B11" s="7">
        <v>6</v>
      </c>
    </row>
    <row r="12" spans="1:2" x14ac:dyDescent="0.3">
      <c r="A12" s="7" t="s">
        <v>21</v>
      </c>
      <c r="B12" s="7">
        <v>20</v>
      </c>
    </row>
    <row r="13" spans="1:2" x14ac:dyDescent="0.3">
      <c r="A13" s="7" t="s">
        <v>19</v>
      </c>
      <c r="B13" s="7">
        <v>15</v>
      </c>
    </row>
    <row r="14" spans="1:2" x14ac:dyDescent="0.3">
      <c r="A14" s="7" t="s">
        <v>25</v>
      </c>
      <c r="B14" s="7">
        <v>9.6</v>
      </c>
    </row>
    <row r="17" spans="1:2" x14ac:dyDescent="0.3">
      <c r="A17" s="8" t="s">
        <v>36</v>
      </c>
      <c r="B17" s="8" t="str">
        <f>_xlfn.XLOOKUP(MIN(B4:B13),B4:B13,A4:A13,,0)</f>
        <v>Mouse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0130-430C-4171-90C5-9175B0A123B8}">
  <dimension ref="A1:J11"/>
  <sheetViews>
    <sheetView tabSelected="1" workbookViewId="0">
      <selection activeCell="G14" sqref="G14"/>
    </sheetView>
  </sheetViews>
  <sheetFormatPr defaultRowHeight="14.4" x14ac:dyDescent="0.3"/>
  <cols>
    <col min="1" max="1" width="9.44140625" bestFit="1" customWidth="1"/>
    <col min="2" max="2" width="8.6640625" style="1" bestFit="1" customWidth="1"/>
    <col min="3" max="3" width="9.88671875" bestFit="1" customWidth="1"/>
    <col min="4" max="4" width="10.5546875" bestFit="1" customWidth="1"/>
    <col min="5" max="5" width="8.6640625" bestFit="1" customWidth="1"/>
    <col min="6" max="6" width="12" bestFit="1" customWidth="1"/>
    <col min="7" max="7" width="19.5546875" bestFit="1" customWidth="1"/>
    <col min="8" max="8" width="21.109375" bestFit="1" customWidth="1"/>
    <col min="9" max="9" width="10.88671875" bestFit="1" customWidth="1"/>
    <col min="10" max="10" width="13.44140625" style="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23</v>
      </c>
      <c r="J1" s="4" t="s">
        <v>24</v>
      </c>
    </row>
    <row r="2" spans="1:10" x14ac:dyDescent="0.3">
      <c r="A2" s="3">
        <v>1001</v>
      </c>
      <c r="B2" s="3" t="s">
        <v>8</v>
      </c>
      <c r="C2" s="3" t="s">
        <v>9</v>
      </c>
      <c r="D2" s="3" t="s">
        <v>10</v>
      </c>
      <c r="E2" s="3">
        <v>50</v>
      </c>
      <c r="F2" s="3">
        <v>20</v>
      </c>
      <c r="G2" s="3">
        <v>30</v>
      </c>
      <c r="H2" s="3">
        <v>7</v>
      </c>
      <c r="I2" s="3" t="str">
        <f>IF(E2&lt;F2,"Under stocked",IF(E2&gt;G2*2,"Over stocked","Normal"))</f>
        <v>Normal</v>
      </c>
      <c r="J2" s="5">
        <f>G2/E2</f>
        <v>0.6</v>
      </c>
    </row>
    <row r="3" spans="1:10" x14ac:dyDescent="0.3">
      <c r="A3" s="3">
        <v>1002</v>
      </c>
      <c r="B3" s="3" t="s">
        <v>11</v>
      </c>
      <c r="C3" s="3" t="s">
        <v>9</v>
      </c>
      <c r="D3" s="3" t="s">
        <v>10</v>
      </c>
      <c r="E3" s="3">
        <v>200</v>
      </c>
      <c r="F3" s="3">
        <v>50</v>
      </c>
      <c r="G3" s="3">
        <v>120</v>
      </c>
      <c r="H3" s="3">
        <v>3</v>
      </c>
      <c r="I3" s="3" t="str">
        <f t="shared" ref="I3:I11" si="0">IF(E3&lt;F3,"Under stocked",IF(E3&gt;G3*2,"Over stocked","Normal"))</f>
        <v>Normal</v>
      </c>
      <c r="J3" s="5">
        <f t="shared" ref="J3:J11" si="1">G3/E3</f>
        <v>0.6</v>
      </c>
    </row>
    <row r="4" spans="1:10" x14ac:dyDescent="0.3">
      <c r="A4" s="3">
        <v>1003</v>
      </c>
      <c r="B4" s="3" t="s">
        <v>12</v>
      </c>
      <c r="C4" s="3" t="s">
        <v>13</v>
      </c>
      <c r="D4" s="3" t="s">
        <v>14</v>
      </c>
      <c r="E4" s="3">
        <v>80</v>
      </c>
      <c r="F4" s="3">
        <v>40</v>
      </c>
      <c r="G4" s="3">
        <v>20</v>
      </c>
      <c r="H4" s="3">
        <v>10</v>
      </c>
      <c r="I4" s="3" t="str">
        <f t="shared" si="0"/>
        <v>Over stocked</v>
      </c>
      <c r="J4" s="5">
        <f t="shared" si="1"/>
        <v>0.25</v>
      </c>
    </row>
    <row r="5" spans="1:10" x14ac:dyDescent="0.3">
      <c r="A5" s="3">
        <v>1004</v>
      </c>
      <c r="B5" s="3" t="s">
        <v>15</v>
      </c>
      <c r="C5" s="3" t="s">
        <v>13</v>
      </c>
      <c r="D5" s="3" t="s">
        <v>14</v>
      </c>
      <c r="E5" s="3">
        <v>30</v>
      </c>
      <c r="F5" s="3">
        <v>25</v>
      </c>
      <c r="G5" s="3">
        <v>10</v>
      </c>
      <c r="H5" s="3">
        <v>12</v>
      </c>
      <c r="I5" s="3" t="str">
        <f t="shared" si="0"/>
        <v>Over stocked</v>
      </c>
      <c r="J5" s="5">
        <f t="shared" si="1"/>
        <v>0.33333333333333331</v>
      </c>
    </row>
    <row r="6" spans="1:10" x14ac:dyDescent="0.3">
      <c r="A6" s="3">
        <v>1005</v>
      </c>
      <c r="B6" s="3" t="s">
        <v>16</v>
      </c>
      <c r="C6" s="3" t="s">
        <v>9</v>
      </c>
      <c r="D6" s="3" t="s">
        <v>10</v>
      </c>
      <c r="E6" s="3">
        <v>60</v>
      </c>
      <c r="F6" s="3">
        <v>30</v>
      </c>
      <c r="G6" s="3">
        <v>25</v>
      </c>
      <c r="H6" s="3">
        <v>8</v>
      </c>
      <c r="I6" s="3" t="str">
        <f t="shared" si="0"/>
        <v>Over stocked</v>
      </c>
      <c r="J6" s="5">
        <f t="shared" si="1"/>
        <v>0.41666666666666669</v>
      </c>
    </row>
    <row r="7" spans="1:10" x14ac:dyDescent="0.3">
      <c r="A7" s="3">
        <v>1006</v>
      </c>
      <c r="B7" s="3" t="s">
        <v>17</v>
      </c>
      <c r="C7" s="3" t="s">
        <v>9</v>
      </c>
      <c r="D7" s="3" t="s">
        <v>18</v>
      </c>
      <c r="E7" s="3">
        <v>150</v>
      </c>
      <c r="F7" s="3">
        <v>40</v>
      </c>
      <c r="G7" s="3">
        <v>90</v>
      </c>
      <c r="H7" s="3">
        <v>5</v>
      </c>
      <c r="I7" s="3" t="str">
        <f t="shared" si="0"/>
        <v>Normal</v>
      </c>
      <c r="J7" s="5">
        <f t="shared" si="1"/>
        <v>0.6</v>
      </c>
    </row>
    <row r="8" spans="1:10" x14ac:dyDescent="0.3">
      <c r="A8" s="3">
        <v>1007</v>
      </c>
      <c r="B8" s="3" t="s">
        <v>19</v>
      </c>
      <c r="C8" s="3" t="s">
        <v>13</v>
      </c>
      <c r="D8" s="3" t="s">
        <v>14</v>
      </c>
      <c r="E8" s="3">
        <v>25</v>
      </c>
      <c r="F8" s="3">
        <v>20</v>
      </c>
      <c r="G8" s="3">
        <v>5</v>
      </c>
      <c r="H8" s="3">
        <v>15</v>
      </c>
      <c r="I8" s="3" t="str">
        <f t="shared" si="0"/>
        <v>Over stocked</v>
      </c>
      <c r="J8" s="5">
        <f t="shared" si="1"/>
        <v>0.2</v>
      </c>
    </row>
    <row r="9" spans="1:10" x14ac:dyDescent="0.3">
      <c r="A9" s="3">
        <v>1008</v>
      </c>
      <c r="B9" s="3" t="s">
        <v>20</v>
      </c>
      <c r="C9" s="3" t="s">
        <v>9</v>
      </c>
      <c r="D9" s="3" t="s">
        <v>18</v>
      </c>
      <c r="E9" s="3">
        <v>40</v>
      </c>
      <c r="F9" s="3">
        <v>15</v>
      </c>
      <c r="G9" s="3">
        <v>8</v>
      </c>
      <c r="H9" s="3">
        <v>10</v>
      </c>
      <c r="I9" s="3" t="str">
        <f t="shared" si="0"/>
        <v>Over stocked</v>
      </c>
      <c r="J9" s="5">
        <f t="shared" si="1"/>
        <v>0.2</v>
      </c>
    </row>
    <row r="10" spans="1:10" x14ac:dyDescent="0.3">
      <c r="A10" s="3">
        <v>1009</v>
      </c>
      <c r="B10" s="3" t="s">
        <v>21</v>
      </c>
      <c r="C10" s="3" t="s">
        <v>13</v>
      </c>
      <c r="D10" s="3" t="s">
        <v>14</v>
      </c>
      <c r="E10" s="3">
        <v>10</v>
      </c>
      <c r="F10" s="3">
        <v>10</v>
      </c>
      <c r="G10" s="3">
        <v>2</v>
      </c>
      <c r="H10" s="3">
        <v>20</v>
      </c>
      <c r="I10" s="3" t="str">
        <f t="shared" si="0"/>
        <v>Over stocked</v>
      </c>
      <c r="J10" s="5">
        <f t="shared" si="1"/>
        <v>0.2</v>
      </c>
    </row>
    <row r="11" spans="1:10" x14ac:dyDescent="0.3">
      <c r="A11" s="3">
        <v>1010</v>
      </c>
      <c r="B11" s="3" t="s">
        <v>22</v>
      </c>
      <c r="C11" s="3" t="s">
        <v>9</v>
      </c>
      <c r="D11" s="3" t="s">
        <v>10</v>
      </c>
      <c r="E11" s="3">
        <v>120</v>
      </c>
      <c r="F11" s="3">
        <v>60</v>
      </c>
      <c r="G11" s="3">
        <v>70</v>
      </c>
      <c r="H11" s="3">
        <v>6</v>
      </c>
      <c r="I11" s="3" t="str">
        <f t="shared" si="0"/>
        <v>Normal</v>
      </c>
      <c r="J11" s="5">
        <f t="shared" si="1"/>
        <v>0.58333333333333337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StockQty by Warehouse</vt:lpstr>
      <vt:lpstr>Count of Category by Stock</vt:lpstr>
      <vt:lpstr>StocksQty by Category</vt:lpstr>
      <vt:lpstr>Units sold by WareHouse</vt:lpstr>
      <vt:lpstr>Avg ShippingDays by Product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2026-04-13T10:45:59Z</dcterms:created>
  <dcterms:modified xsi:type="dcterms:W3CDTF">2026-04-14T10:37:54Z</dcterms:modified>
</cp:coreProperties>
</file>