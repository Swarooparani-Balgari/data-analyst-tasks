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8/"/>
    </mc:Choice>
  </mc:AlternateContent>
  <xr:revisionPtr revIDLastSave="3" documentId="8_{E411AF2F-0266-41CA-899A-B2BC5F3DE971}" xr6:coauthVersionLast="47" xr6:coauthVersionMax="47" xr10:uidLastSave="{648D7910-2D8B-4AE4-908B-AADC0ECEFC8A}"/>
  <bookViews>
    <workbookView xWindow="-108" yWindow="-108" windowWidth="23256" windowHeight="12456" firstSheet="2" activeTab="5" xr2:uid="{667EC8A3-618C-41D8-9B75-E488B86D5A7E}"/>
  </bookViews>
  <sheets>
    <sheet name="Completion rate by CourseCatego" sheetId="2" r:id="rId1"/>
    <sheet name="Avg StudentRating by Engagement" sheetId="4" r:id="rId2"/>
    <sheet name="Count of RefundFlag by CourseCa" sheetId="6" r:id="rId3"/>
    <sheet name="Avg CoursePrice by CourseCatego" sheetId="7" r:id="rId4"/>
    <sheet name="Avg watchtime hours" sheetId="8" r:id="rId5"/>
    <sheet name="Dataset" sheetId="1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8" l="1"/>
  <c r="B11" i="8"/>
  <c r="B16" i="7"/>
  <c r="B12" i="7"/>
  <c r="B16" i="6"/>
  <c r="B12" i="6" a="1"/>
  <c r="B12" i="6" s="1"/>
  <c r="L3" i="1"/>
  <c r="L4" i="1"/>
  <c r="L5" i="1"/>
  <c r="L6" i="1"/>
  <c r="L7" i="1"/>
  <c r="L8" i="1"/>
  <c r="L9" i="1"/>
  <c r="L10" i="1"/>
  <c r="L11" i="1"/>
  <c r="L2" i="1"/>
  <c r="B15" i="4"/>
  <c r="B11" i="4"/>
  <c r="J3" i="1"/>
  <c r="J4" i="1"/>
  <c r="J5" i="1"/>
  <c r="J6" i="1"/>
  <c r="J7" i="1"/>
  <c r="J8" i="1"/>
  <c r="J9" i="1"/>
  <c r="J10" i="1"/>
  <c r="J11" i="1"/>
  <c r="J2" i="1"/>
  <c r="D11" i="1"/>
  <c r="D10" i="1"/>
  <c r="D9" i="1"/>
  <c r="D8" i="1"/>
  <c r="D7" i="1"/>
  <c r="D6" i="1"/>
  <c r="D5" i="1"/>
  <c r="D4" i="1"/>
  <c r="D3" i="1"/>
  <c r="D2" i="1"/>
  <c r="B17" i="2"/>
  <c r="B12" i="2"/>
  <c r="K3" i="1"/>
  <c r="K4" i="1"/>
  <c r="K5" i="1"/>
  <c r="K6" i="1"/>
  <c r="K7" i="1"/>
  <c r="K8" i="1"/>
  <c r="K9" i="1"/>
  <c r="K10" i="1"/>
  <c r="K11" i="1"/>
  <c r="K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<sst xmlns="http://schemas.openxmlformats.org/spreadsheetml/2006/main" count="95" uniqueCount="48">
  <si>
    <t>StudentID</t>
  </si>
  <si>
    <t>CourseCategory</t>
  </si>
  <si>
    <t>CoursePrice</t>
  </si>
  <si>
    <t>WatchTime_Hours</t>
  </si>
  <si>
    <t>AssignmentsCompleted</t>
  </si>
  <si>
    <t>StudentRating</t>
  </si>
  <si>
    <t>RefundRequested</t>
  </si>
  <si>
    <t>CourseCompleted</t>
  </si>
  <si>
    <t>L1001</t>
  </si>
  <si>
    <t>Data Science</t>
  </si>
  <si>
    <t>Yes</t>
  </si>
  <si>
    <t>No</t>
  </si>
  <si>
    <t>L1002</t>
  </si>
  <si>
    <t>Programming</t>
  </si>
  <si>
    <t>L1003</t>
  </si>
  <si>
    <t>Design</t>
  </si>
  <si>
    <t>L1004</t>
  </si>
  <si>
    <t>L1005</t>
  </si>
  <si>
    <t>Marketing</t>
  </si>
  <si>
    <t>L1006</t>
  </si>
  <si>
    <t>L1007</t>
  </si>
  <si>
    <t>L1008</t>
  </si>
  <si>
    <t>L1009</t>
  </si>
  <si>
    <t>L1010</t>
  </si>
  <si>
    <t>CompletionFlag</t>
  </si>
  <si>
    <t>EngagementLevel</t>
  </si>
  <si>
    <t>AssignmentPerformance</t>
  </si>
  <si>
    <t>Grand Total</t>
  </si>
  <si>
    <t>Sum of CompletionFlag</t>
  </si>
  <si>
    <t xml:space="preserve">Which CourseCategory has lowest completion rate </t>
  </si>
  <si>
    <t xml:space="preserve">What's the lowest completion rate </t>
  </si>
  <si>
    <t>High</t>
  </si>
  <si>
    <t>Low</t>
  </si>
  <si>
    <t>Moderate</t>
  </si>
  <si>
    <t>Avg of StudentRating</t>
  </si>
  <si>
    <t>Which Engagement Level has highest student rating</t>
  </si>
  <si>
    <t xml:space="preserve">What's the highest avg student rating </t>
  </si>
  <si>
    <t>RefundFlag</t>
  </si>
  <si>
    <t>Sum of RefundFlag</t>
  </si>
  <si>
    <t>Which CourseCategories have lowest refund count</t>
  </si>
  <si>
    <t>What's the lowest refund count</t>
  </si>
  <si>
    <t>Avg of CoursePrice</t>
  </si>
  <si>
    <t>Which CourseCategory has highest CoursePrice</t>
  </si>
  <si>
    <t>What's the highest avg CoursePrice</t>
  </si>
  <si>
    <t>Poor</t>
  </si>
  <si>
    <t>Avg of WatchTime_Hours</t>
  </si>
  <si>
    <t>Which AssignmentPerformance has lowest watch time hours</t>
  </si>
  <si>
    <t>What's the lowest avg watchtime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</si>
</sst>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6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18.xlsx]Completion rate by CourseCatego!PivotTable1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Completion rate by CourseCategory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'Completion rate by CourseCatego'!$B$3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5-4D5C-B0EF-1A8CF8707B8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63-427A-B743-1CA671E5CE8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63-427A-B743-1CA671E5CE8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163-427A-B743-1CA671E5CE88}"/>
              </c:ext>
            </c:extLst>
          </c:dPt>
          <c:cat>
            <c:strRef>
              <c:f>'Completion rate by CourseCatego'!$A$4:$A$8</c:f>
              <c:strCache>
                <c:ptCount val="4"/>
                <c:pt idx="0">
                  <c:v>Data Science</c:v>
                </c:pt>
                <c:pt idx="1">
                  <c:v>Design</c:v>
                </c:pt>
                <c:pt idx="2">
                  <c:v>Marketing</c:v>
                </c:pt>
                <c:pt idx="3">
                  <c:v>Programming</c:v>
                </c:pt>
              </c:strCache>
            </c:strRef>
          </c:cat>
          <c:val>
            <c:numRef>
              <c:f>'Completion rate by CourseCatego'!$B$4:$B$8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C-48F5-B6D4-3D1B9A72B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3737039"/>
        <c:axId val="406785263"/>
      </c:barChart>
      <c:catAx>
        <c:axId val="41373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85263"/>
        <c:crosses val="autoZero"/>
        <c:auto val="1"/>
        <c:lblAlgn val="ctr"/>
        <c:lblOffset val="100"/>
        <c:noMultiLvlLbl val="0"/>
      </c:catAx>
      <c:valAx>
        <c:axId val="40678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3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18.xlsx]Avg StudentRating by Engagement!PivotTable3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StudentRating by EngagementLevel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StudentRating by Engagement'!$B$3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D12-494C-8C74-6E35F483D16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12-494C-8C74-6E35F483D16D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12-494C-8C74-6E35F483D16D}"/>
              </c:ext>
            </c:extLst>
          </c:dPt>
          <c:cat>
            <c:strRef>
              <c:f>'Avg StudentRating by Engagement'!$A$4:$A$7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</c:strCache>
            </c:strRef>
          </c:cat>
          <c:val>
            <c:numRef>
              <c:f>'Avg StudentRating by Engagement'!$B$4:$B$7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1-4A1C-8652-8C03DD206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527391"/>
        <c:axId val="482838063"/>
      </c:barChart>
      <c:catAx>
        <c:axId val="5945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38063"/>
        <c:crosses val="autoZero"/>
        <c:auto val="1"/>
        <c:lblAlgn val="ctr"/>
        <c:lblOffset val="100"/>
        <c:noMultiLvlLbl val="0"/>
      </c:catAx>
      <c:valAx>
        <c:axId val="4828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2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18.xlsx]Count of RefundFlag by CourseCa!PivotTable5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RefundFlag by CourseCategory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'Count of RefundFlag by CourseCa'!$B$3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22-4762-A7A7-EB2C4E123874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22-4762-A7A7-EB2C4E123874}"/>
              </c:ext>
            </c:extLst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22-4762-A7A7-EB2C4E123874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22-4762-A7A7-EB2C4E123874}"/>
              </c:ext>
            </c:extLst>
          </c:dPt>
          <c:cat>
            <c:strRef>
              <c:f>'Count of RefundFlag by CourseCa'!$A$4:$A$8</c:f>
              <c:strCache>
                <c:ptCount val="4"/>
                <c:pt idx="0">
                  <c:v>Data Science</c:v>
                </c:pt>
                <c:pt idx="1">
                  <c:v>Design</c:v>
                </c:pt>
                <c:pt idx="2">
                  <c:v>Marketing</c:v>
                </c:pt>
                <c:pt idx="3">
                  <c:v>Programming</c:v>
                </c:pt>
              </c:strCache>
            </c:strRef>
          </c:cat>
          <c:val>
            <c:numRef>
              <c:f>'Count of RefundFlag by CourseCa'!$B$4:$B$8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C-4A1E-B80B-A0FEF2B1D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18.xlsx]Avg CoursePrice by CourseCatego!PivotTable6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CoursePrice by CourseCategory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'Avg CoursePrice by CourseCatego'!$B$3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00B3-450A-9091-60DB5AC2C2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0B3-450A-9091-60DB5AC2C2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0B3-450A-9091-60DB5AC2C22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0B3-450A-9091-60DB5AC2C229}"/>
              </c:ext>
            </c:extLst>
          </c:dPt>
          <c:cat>
            <c:strRef>
              <c:f>'Avg CoursePrice by CourseCatego'!$A$4:$A$8</c:f>
              <c:strCache>
                <c:ptCount val="4"/>
                <c:pt idx="0">
                  <c:v>Programming</c:v>
                </c:pt>
                <c:pt idx="1">
                  <c:v>Data Science</c:v>
                </c:pt>
                <c:pt idx="2">
                  <c:v>Design</c:v>
                </c:pt>
                <c:pt idx="3">
                  <c:v>Marketing</c:v>
                </c:pt>
              </c:strCache>
            </c:strRef>
          </c:cat>
          <c:val>
            <c:numRef>
              <c:f>'Avg CoursePrice by CourseCatego'!$B$4:$B$8</c:f>
              <c:numCache>
                <c:formatCode>[$₹-439]#,##0</c:formatCode>
                <c:ptCount val="4"/>
                <c:pt idx="0">
                  <c:v>6999</c:v>
                </c:pt>
                <c:pt idx="1">
                  <c:v>5499</c:v>
                </c:pt>
                <c:pt idx="2">
                  <c:v>3749</c:v>
                </c:pt>
                <c:pt idx="3">
                  <c:v>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7-44CC-93F1-F1611692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pyramid"/>
        <c:axId val="601450015"/>
        <c:axId val="593875087"/>
        <c:axId val="0"/>
      </c:bar3DChart>
      <c:catAx>
        <c:axId val="60145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75087"/>
        <c:crosses val="autoZero"/>
        <c:auto val="1"/>
        <c:lblAlgn val="ctr"/>
        <c:lblOffset val="100"/>
        <c:noMultiLvlLbl val="0"/>
      </c:catAx>
      <c:valAx>
        <c:axId val="59387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5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18.xlsx]Avg watchtime hours!PivotTable7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watchtime hours</a:t>
            </a:r>
          </a:p>
          <a:p>
            <a:pPr>
              <a:defRPr/>
            </a:pPr>
            <a:r>
              <a:rPr lang="en-US"/>
              <a:t> by AssignmentPerformance</a:t>
            </a:r>
          </a:p>
        </c:rich>
      </c:tx>
      <c:layout>
        <c:manualLayout>
          <c:xMode val="edge"/>
          <c:yMode val="edge"/>
          <c:x val="0.2624652004706308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'Avg watchtime hours'!$B$3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07-483D-978F-54E700C0EDB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07-483D-978F-54E700C0EDBF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07-483D-978F-54E700C0EDBF}"/>
              </c:ext>
            </c:extLst>
          </c:dPt>
          <c:cat>
            <c:strRef>
              <c:f>'Avg watchtime hours'!$A$4:$A$7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Poor</c:v>
                </c:pt>
              </c:strCache>
            </c:strRef>
          </c:cat>
          <c:val>
            <c:numRef>
              <c:f>'Avg watchtime hours'!$B$4:$B$7</c:f>
              <c:numCache>
                <c:formatCode>0.00</c:formatCode>
                <c:ptCount val="3"/>
                <c:pt idx="0">
                  <c:v>35</c:v>
                </c:pt>
                <c:pt idx="1">
                  <c:v>17.666666666666668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3B-4468-9675-73A6A6663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118110</xdr:rowOff>
    </xdr:from>
    <xdr:to>
      <xdr:col>10</xdr:col>
      <xdr:colOff>495300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3F8D0-11E1-8CAA-D5F1-E634799C9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3</xdr:row>
      <xdr:rowOff>3810</xdr:rowOff>
    </xdr:from>
    <xdr:to>
      <xdr:col>12</xdr:col>
      <xdr:colOff>205740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BF0B2-5F3A-89CF-EBBD-8E78C2E9D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3810</xdr:rowOff>
    </xdr:from>
    <xdr:to>
      <xdr:col>11</xdr:col>
      <xdr:colOff>297180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894EA-2D41-849E-EC7D-F086EEE6F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179070</xdr:rowOff>
    </xdr:from>
    <xdr:to>
      <xdr:col>11</xdr:col>
      <xdr:colOff>281940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ADB84-5718-7A6E-DD3C-F61EA1DA7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2</xdr:row>
      <xdr:rowOff>11430</xdr:rowOff>
    </xdr:from>
    <xdr:to>
      <xdr:col>11</xdr:col>
      <xdr:colOff>38100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0CD24E-95D5-BC4E-3FCF-591117704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9.826728356478" createdVersion="8" refreshedVersion="8" minRefreshableVersion="3" recordCount="10" xr:uid="{5F076C74-D268-43C8-A294-57724351D9F6}">
  <cacheSource type="worksheet">
    <worksheetSource ref="A1:K11" sheet="Dataset"/>
  </cacheSource>
  <cacheFields count="11">
    <cacheField name="StudentID" numFmtId="0">
      <sharedItems/>
    </cacheField>
    <cacheField name="CourseCategory" numFmtId="49">
      <sharedItems count="4">
        <s v="Data Science"/>
        <s v="Programming"/>
        <s v="Design"/>
        <s v="Marketing"/>
      </sharedItems>
    </cacheField>
    <cacheField name="CoursePrice" numFmtId="164">
      <sharedItems containsSemiMixedTypes="0" containsString="0" containsNumber="1" containsInteger="1" minValue="2799" maxValue="7499"/>
    </cacheField>
    <cacheField name="WatchTime_Hours" numFmtId="0">
      <sharedItems containsSemiMixedTypes="0" containsString="0" containsNumber="1" containsInteger="1" minValue="6" maxValue="45"/>
    </cacheField>
    <cacheField name="AssignmentsCompleted" numFmtId="0">
      <sharedItems containsSemiMixedTypes="0" containsString="0" containsNumber="1" containsInteger="1" minValue="1" maxValue="12"/>
    </cacheField>
    <cacheField name="StudentRating" numFmtId="0">
      <sharedItems containsSemiMixedTypes="0" containsString="0" containsNumber="1" containsInteger="1" minValue="1" maxValue="5"/>
    </cacheField>
    <cacheField name="RefundRequested" numFmtId="49">
      <sharedItems count="2">
        <s v="Yes"/>
        <s v="No"/>
      </sharedItems>
    </cacheField>
    <cacheField name="CourseCompleted" numFmtId="49">
      <sharedItems/>
    </cacheField>
    <cacheField name="CompletionFlag" numFmtId="0">
      <sharedItems containsSemiMixedTypes="0" containsString="0" containsNumber="1" containsInteger="1" minValue="0" maxValue="1"/>
    </cacheField>
    <cacheField name="EngagementLevel" numFmtId="0">
      <sharedItems count="3">
        <s v="Low"/>
        <s v="High"/>
        <s v="Moderate"/>
      </sharedItems>
    </cacheField>
    <cacheField name="AssignmentPerformanc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9.83698738426" createdVersion="8" refreshedVersion="8" minRefreshableVersion="3" recordCount="10" xr:uid="{D73589D8-173D-4B0F-BDD4-7FCE47D3F91D}">
  <cacheSource type="worksheet">
    <worksheetSource ref="A1:L11" sheet="Dataset"/>
  </cacheSource>
  <cacheFields count="12">
    <cacheField name="StudentID" numFmtId="0">
      <sharedItems/>
    </cacheField>
    <cacheField name="CourseCategory" numFmtId="49">
      <sharedItems count="4">
        <s v="Data Science"/>
        <s v="Programming"/>
        <s v="Design"/>
        <s v="Marketing"/>
      </sharedItems>
    </cacheField>
    <cacheField name="CoursePrice" numFmtId="164">
      <sharedItems containsSemiMixedTypes="0" containsString="0" containsNumber="1" containsInteger="1" minValue="2799" maxValue="7499"/>
    </cacheField>
    <cacheField name="WatchTime_Hours" numFmtId="0">
      <sharedItems containsSemiMixedTypes="0" containsString="0" containsNumber="1" containsInteger="1" minValue="6" maxValue="45"/>
    </cacheField>
    <cacheField name="AssignmentsCompleted" numFmtId="0">
      <sharedItems containsSemiMixedTypes="0" containsString="0" containsNumber="1" containsInteger="1" minValue="1" maxValue="12"/>
    </cacheField>
    <cacheField name="StudentRating" numFmtId="0">
      <sharedItems containsSemiMixedTypes="0" containsString="0" containsNumber="1" containsInteger="1" minValue="1" maxValue="5"/>
    </cacheField>
    <cacheField name="RefundRequested" numFmtId="49">
      <sharedItems/>
    </cacheField>
    <cacheField name="CourseCompleted" numFmtId="49">
      <sharedItems/>
    </cacheField>
    <cacheField name="CompletionFlag" numFmtId="0">
      <sharedItems containsSemiMixedTypes="0" containsString="0" containsNumber="1" containsInteger="1" minValue="0" maxValue="1"/>
    </cacheField>
    <cacheField name="EngagementLevel" numFmtId="0">
      <sharedItems/>
    </cacheField>
    <cacheField name="AssignmentPerformance" numFmtId="49">
      <sharedItems count="3">
        <s v="Poor"/>
        <s v="High"/>
        <s v="Moderate"/>
      </sharedItems>
    </cacheField>
    <cacheField name="Refund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L1001"/>
    <x v="0"/>
    <n v="4999"/>
    <n v="8"/>
    <n v="2"/>
    <n v="2"/>
    <x v="0"/>
    <s v="No"/>
    <n v="0"/>
    <x v="0"/>
    <s v="Poor"/>
  </r>
  <r>
    <s v="L1002"/>
    <x v="1"/>
    <n v="6999"/>
    <n v="42"/>
    <n v="10"/>
    <n v="5"/>
    <x v="1"/>
    <s v="Yes"/>
    <n v="1"/>
    <x v="1"/>
    <s v="High"/>
  </r>
  <r>
    <s v="L1003"/>
    <x v="2"/>
    <n v="3499"/>
    <n v="18"/>
    <n v="5"/>
    <n v="4"/>
    <x v="1"/>
    <s v="Yes"/>
    <n v="1"/>
    <x v="2"/>
    <s v="Moderate"/>
  </r>
  <r>
    <s v="L1004"/>
    <x v="0"/>
    <n v="5999"/>
    <n v="6"/>
    <n v="1"/>
    <n v="1"/>
    <x v="0"/>
    <s v="No"/>
    <n v="0"/>
    <x v="0"/>
    <s v="Poor"/>
  </r>
  <r>
    <s v="L1005"/>
    <x v="3"/>
    <n v="2999"/>
    <n v="25"/>
    <n v="7"/>
    <n v="5"/>
    <x v="1"/>
    <s v="Yes"/>
    <n v="1"/>
    <x v="1"/>
    <s v="High"/>
  </r>
  <r>
    <s v="L1006"/>
    <x v="1"/>
    <n v="6499"/>
    <n v="20"/>
    <n v="4"/>
    <n v="3"/>
    <x v="1"/>
    <s v="No"/>
    <n v="0"/>
    <x v="2"/>
    <s v="Moderate"/>
  </r>
  <r>
    <s v="L1007"/>
    <x v="2"/>
    <n v="3999"/>
    <n v="15"/>
    <n v="3"/>
    <n v="3"/>
    <x v="0"/>
    <s v="No"/>
    <n v="0"/>
    <x v="2"/>
    <s v="Moderate"/>
  </r>
  <r>
    <s v="L1008"/>
    <x v="3"/>
    <n v="2799"/>
    <n v="28"/>
    <n v="8"/>
    <n v="5"/>
    <x v="1"/>
    <s v="Yes"/>
    <n v="1"/>
    <x v="1"/>
    <s v="High"/>
  </r>
  <r>
    <s v="L1009"/>
    <x v="0"/>
    <n v="5499"/>
    <n v="10"/>
    <n v="2"/>
    <n v="2"/>
    <x v="0"/>
    <s v="No"/>
    <n v="0"/>
    <x v="2"/>
    <s v="Poor"/>
  </r>
  <r>
    <s v="L1010"/>
    <x v="1"/>
    <n v="7499"/>
    <n v="45"/>
    <n v="12"/>
    <n v="5"/>
    <x v="1"/>
    <s v="Yes"/>
    <n v="1"/>
    <x v="1"/>
    <s v="Hig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L1001"/>
    <x v="0"/>
    <n v="4999"/>
    <n v="8"/>
    <n v="2"/>
    <n v="2"/>
    <s v="Yes"/>
    <s v="No"/>
    <n v="0"/>
    <s v="Low"/>
    <x v="0"/>
    <n v="1"/>
  </r>
  <r>
    <s v="L1002"/>
    <x v="1"/>
    <n v="6999"/>
    <n v="42"/>
    <n v="10"/>
    <n v="5"/>
    <s v="No"/>
    <s v="Yes"/>
    <n v="1"/>
    <s v="High"/>
    <x v="1"/>
    <n v="0"/>
  </r>
  <r>
    <s v="L1003"/>
    <x v="2"/>
    <n v="3499"/>
    <n v="18"/>
    <n v="5"/>
    <n v="4"/>
    <s v="No"/>
    <s v="Yes"/>
    <n v="1"/>
    <s v="Moderate"/>
    <x v="2"/>
    <n v="0"/>
  </r>
  <r>
    <s v="L1004"/>
    <x v="0"/>
    <n v="5999"/>
    <n v="6"/>
    <n v="1"/>
    <n v="1"/>
    <s v="Yes"/>
    <s v="No"/>
    <n v="0"/>
    <s v="Low"/>
    <x v="0"/>
    <n v="1"/>
  </r>
  <r>
    <s v="L1005"/>
    <x v="3"/>
    <n v="2999"/>
    <n v="25"/>
    <n v="7"/>
    <n v="5"/>
    <s v="No"/>
    <s v="Yes"/>
    <n v="1"/>
    <s v="High"/>
    <x v="1"/>
    <n v="0"/>
  </r>
  <r>
    <s v="L1006"/>
    <x v="1"/>
    <n v="6499"/>
    <n v="20"/>
    <n v="4"/>
    <n v="3"/>
    <s v="No"/>
    <s v="No"/>
    <n v="0"/>
    <s v="Moderate"/>
    <x v="2"/>
    <n v="0"/>
  </r>
  <r>
    <s v="L1007"/>
    <x v="2"/>
    <n v="3999"/>
    <n v="15"/>
    <n v="3"/>
    <n v="3"/>
    <s v="Yes"/>
    <s v="No"/>
    <n v="0"/>
    <s v="Moderate"/>
    <x v="2"/>
    <n v="1"/>
  </r>
  <r>
    <s v="L1008"/>
    <x v="3"/>
    <n v="2799"/>
    <n v="28"/>
    <n v="8"/>
    <n v="5"/>
    <s v="No"/>
    <s v="Yes"/>
    <n v="1"/>
    <s v="High"/>
    <x v="1"/>
    <n v="0"/>
  </r>
  <r>
    <s v="L1009"/>
    <x v="0"/>
    <n v="5499"/>
    <n v="10"/>
    <n v="2"/>
    <n v="2"/>
    <s v="Yes"/>
    <s v="No"/>
    <n v="0"/>
    <s v="Moderate"/>
    <x v="0"/>
    <n v="1"/>
  </r>
  <r>
    <s v="L1010"/>
    <x v="1"/>
    <n v="7499"/>
    <n v="45"/>
    <n v="12"/>
    <n v="5"/>
    <s v="No"/>
    <s v="Yes"/>
    <n v="1"/>
    <s v="High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81ED0-3D77-46BA-BED3-A1D0393DD8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urseCategory">
  <location ref="A3:B8" firstHeaderRow="1" firstDataRow="1" firstDataCol="1"/>
  <pivotFields count="11">
    <pivotField showAll="0"/>
    <pivotField axis="axisRow" showAll="0">
      <items count="5">
        <item x="0"/>
        <item x="2"/>
        <item x="3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mpletionFlag" fld="8" baseField="0" baseItem="0"/>
  </dataFields>
  <formats count="12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E922B-3FBE-42AB-84C9-1BBBA81D13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EngagementLevel">
  <location ref="A3:B7" firstHeaderRow="1" firstDataRow="1" firstDataCol="1"/>
  <pivotFields count="1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g of StudentRating" fld="5" subtotal="average" baseField="0" baseItem="0"/>
  </dataFields>
  <formats count="12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9" type="button" dataOnly="0" labelOnly="1" outline="0" axis="axisRow" fieldPosition="0"/>
    </format>
    <format dxfId="47">
      <pivotArea dataOnly="0" labelOnly="1" fieldPosition="0">
        <references count="1">
          <reference field="9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9" type="button" dataOnly="0" labelOnly="1" outline="0" axis="axisRow" fieldPosition="0"/>
    </format>
    <format dxfId="41">
      <pivotArea dataOnly="0" labelOnly="1" fieldPosition="0">
        <references count="1">
          <reference field="9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A80D8-D511-4526-8A76-A4B3DAA537D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urseCategory">
  <location ref="A3:B8" firstHeaderRow="1" firstDataRow="1" firstDataCol="1"/>
  <pivotFields count="12">
    <pivotField showAll="0"/>
    <pivotField axis="axisRow" showAll="0">
      <items count="5">
        <item x="0"/>
        <item x="2"/>
        <item x="3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fundFlag" fld="11" baseField="0" baseItem="0"/>
  </dataFields>
  <formats count="12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1619D-A81E-4A69-A5A6-872E2051FC2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urseCategory">
  <location ref="A3:B8" firstHeaderRow="1" firstDataRow="1" firstDataCol="1"/>
  <pivotFields count="12"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g of CoursePrice" fld="2" subtotal="average" baseField="1" baseItem="0" numFmtId="164"/>
  </dataFields>
  <formats count="12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698C8-0C0A-4E36-8EF6-60243C524ED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AssignmentPerformance">
  <location ref="A3:B7" firstHeaderRow="1" firstDataRow="1" firstDataCol="1"/>
  <pivotFields count="12"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WatchTime_Hours" fld="3" subtotal="average" baseField="0" baseItem="0"/>
  </dataFields>
  <formats count="15">
    <format dxfId="14">
      <pivotArea collapsedLevelsAreSubtotals="1" fieldPosition="0">
        <references count="1">
          <reference field="10" count="1">
            <x v="1"/>
          </reference>
        </references>
      </pivotArea>
    </format>
    <format dxfId="13">
      <pivotArea collapsedLevelsAreSubtotals="1" fieldPosition="0">
        <references count="1">
          <reference field="10" count="1">
            <x v="0"/>
          </reference>
        </references>
      </pivotArea>
    </format>
    <format dxfId="12">
      <pivotArea collapsedLevelsAreSubtotals="1" fieldPosition="0">
        <references count="1">
          <reference field="10" count="1">
            <x v="2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E7D6-0DC2-4889-BF7A-9DF6958EC9BB}">
  <sheetPr codeName="Sheet2"/>
  <dimension ref="A3:B17"/>
  <sheetViews>
    <sheetView workbookViewId="0">
      <selection activeCell="C25" sqref="C25"/>
    </sheetView>
  </sheetViews>
  <sheetFormatPr defaultRowHeight="14.4" x14ac:dyDescent="0.3"/>
  <cols>
    <col min="1" max="1" width="44.44140625" style="2" bestFit="1" customWidth="1"/>
    <col min="2" max="2" width="20.77734375" style="2" bestFit="1" customWidth="1"/>
    <col min="3" max="16384" width="8.88671875" style="2"/>
  </cols>
  <sheetData>
    <row r="3" spans="1:2" x14ac:dyDescent="0.3">
      <c r="A3" s="7" t="s">
        <v>1</v>
      </c>
      <c r="B3" s="2" t="s">
        <v>28</v>
      </c>
    </row>
    <row r="4" spans="1:2" x14ac:dyDescent="0.3">
      <c r="A4" s="2" t="s">
        <v>9</v>
      </c>
      <c r="B4" s="2">
        <v>0</v>
      </c>
    </row>
    <row r="5" spans="1:2" x14ac:dyDescent="0.3">
      <c r="A5" s="2" t="s">
        <v>15</v>
      </c>
      <c r="B5" s="2">
        <v>1</v>
      </c>
    </row>
    <row r="6" spans="1:2" x14ac:dyDescent="0.3">
      <c r="A6" s="2" t="s">
        <v>18</v>
      </c>
      <c r="B6" s="2">
        <v>2</v>
      </c>
    </row>
    <row r="7" spans="1:2" x14ac:dyDescent="0.3">
      <c r="A7" s="2" t="s">
        <v>13</v>
      </c>
      <c r="B7" s="2">
        <v>2</v>
      </c>
    </row>
    <row r="8" spans="1:2" x14ac:dyDescent="0.3">
      <c r="A8" s="2" t="s">
        <v>27</v>
      </c>
      <c r="B8" s="2">
        <v>5</v>
      </c>
    </row>
    <row r="12" spans="1:2" x14ac:dyDescent="0.3">
      <c r="A12" s="1" t="s">
        <v>29</v>
      </c>
      <c r="B12" s="1" t="str">
        <f>_xlfn.XLOOKUP(MIN(B4:B7),B4:B7,A4:A7,)</f>
        <v>Data Science</v>
      </c>
    </row>
    <row r="17" spans="1:2" x14ac:dyDescent="0.3">
      <c r="A17" s="1" t="s">
        <v>30</v>
      </c>
      <c r="B17" s="1">
        <f>VLOOKUP(A4,A4:B7,2,FALSE)</f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12E0-7114-44C9-8153-2E91DC60F3EC}">
  <sheetPr codeName="Sheet3"/>
  <dimension ref="A3:B15"/>
  <sheetViews>
    <sheetView workbookViewId="0">
      <selection activeCell="B25" sqref="B25"/>
    </sheetView>
  </sheetViews>
  <sheetFormatPr defaultRowHeight="14.4" x14ac:dyDescent="0.3"/>
  <cols>
    <col min="1" max="1" width="45.109375" style="2" bestFit="1" customWidth="1"/>
    <col min="2" max="2" width="19.109375" style="2" bestFit="1" customWidth="1"/>
    <col min="3" max="16384" width="8.88671875" style="2"/>
  </cols>
  <sheetData>
    <row r="3" spans="1:2" x14ac:dyDescent="0.3">
      <c r="A3" s="7" t="s">
        <v>25</v>
      </c>
      <c r="B3" s="2" t="s">
        <v>34</v>
      </c>
    </row>
    <row r="4" spans="1:2" x14ac:dyDescent="0.3">
      <c r="A4" s="2" t="s">
        <v>31</v>
      </c>
      <c r="B4" s="2">
        <v>5</v>
      </c>
    </row>
    <row r="5" spans="1:2" x14ac:dyDescent="0.3">
      <c r="A5" s="2" t="s">
        <v>33</v>
      </c>
      <c r="B5" s="2">
        <v>3</v>
      </c>
    </row>
    <row r="6" spans="1:2" x14ac:dyDescent="0.3">
      <c r="A6" s="2" t="s">
        <v>32</v>
      </c>
      <c r="B6" s="2">
        <v>1.5</v>
      </c>
    </row>
    <row r="7" spans="1:2" x14ac:dyDescent="0.3">
      <c r="A7" s="2" t="s">
        <v>27</v>
      </c>
      <c r="B7" s="2">
        <v>3.5</v>
      </c>
    </row>
    <row r="11" spans="1:2" x14ac:dyDescent="0.3">
      <c r="A11" s="1" t="s">
        <v>35</v>
      </c>
      <c r="B11" s="1" t="str">
        <f>_xlfn.XLOOKUP(MAX(B4:B6),B4:B6,A4:A6,)</f>
        <v>High</v>
      </c>
    </row>
    <row r="15" spans="1:2" x14ac:dyDescent="0.3">
      <c r="A15" s="1" t="s">
        <v>36</v>
      </c>
      <c r="B15" s="1">
        <f>VLOOKUP(A4,A4:B6,2,FALSE)</f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7BDA-675A-46CE-BD47-9C3DDE48D463}">
  <sheetPr codeName="Sheet4"/>
  <dimension ref="A3:B16"/>
  <sheetViews>
    <sheetView workbookViewId="0">
      <selection activeCell="F20" sqref="F20"/>
    </sheetView>
  </sheetViews>
  <sheetFormatPr defaultRowHeight="14.4" x14ac:dyDescent="0.3"/>
  <cols>
    <col min="1" max="1" width="44.109375" style="2" bestFit="1" customWidth="1"/>
    <col min="2" max="2" width="22" style="2" bestFit="1" customWidth="1"/>
    <col min="3" max="16384" width="8.88671875" style="2"/>
  </cols>
  <sheetData>
    <row r="3" spans="1:2" x14ac:dyDescent="0.3">
      <c r="A3" s="7" t="s">
        <v>1</v>
      </c>
      <c r="B3" s="2" t="s">
        <v>38</v>
      </c>
    </row>
    <row r="4" spans="1:2" x14ac:dyDescent="0.3">
      <c r="A4" s="2" t="s">
        <v>9</v>
      </c>
      <c r="B4" s="2">
        <v>3</v>
      </c>
    </row>
    <row r="5" spans="1:2" x14ac:dyDescent="0.3">
      <c r="A5" s="2" t="s">
        <v>15</v>
      </c>
      <c r="B5" s="2">
        <v>1</v>
      </c>
    </row>
    <row r="6" spans="1:2" x14ac:dyDescent="0.3">
      <c r="A6" s="2" t="s">
        <v>18</v>
      </c>
      <c r="B6" s="2">
        <v>0</v>
      </c>
    </row>
    <row r="7" spans="1:2" x14ac:dyDescent="0.3">
      <c r="A7" s="2" t="s">
        <v>13</v>
      </c>
      <c r="B7" s="2">
        <v>0</v>
      </c>
    </row>
    <row r="8" spans="1:2" x14ac:dyDescent="0.3">
      <c r="A8" s="2" t="s">
        <v>27</v>
      </c>
      <c r="B8" s="2">
        <v>4</v>
      </c>
    </row>
    <row r="12" spans="1:2" x14ac:dyDescent="0.3">
      <c r="A12" s="1" t="s">
        <v>39</v>
      </c>
      <c r="B12" s="1" t="str" cm="1">
        <f t="array" ref="B12">_xlfn.TEXTJOIN(",",TRUE,_xlfn._xlws.FILTER(A4:A7,B4:B7=MIN(B4:B7),))</f>
        <v>Marketing,Programming</v>
      </c>
    </row>
    <row r="16" spans="1:2" x14ac:dyDescent="0.3">
      <c r="A16" s="1" t="s">
        <v>40</v>
      </c>
      <c r="B16" s="1">
        <f>VLOOKUP(A7,A4:B7,2,FALSE)</f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6835-169E-4F4C-94CB-61C672B5DD1A}">
  <sheetPr codeName="Sheet5"/>
  <dimension ref="A3:B16"/>
  <sheetViews>
    <sheetView workbookViewId="0">
      <selection activeCell="K22" sqref="K22"/>
    </sheetView>
  </sheetViews>
  <sheetFormatPr defaultRowHeight="14.4" x14ac:dyDescent="0.3"/>
  <cols>
    <col min="1" max="1" width="41.109375" style="2" bestFit="1" customWidth="1"/>
    <col min="2" max="2" width="16.88671875" style="2" bestFit="1" customWidth="1"/>
    <col min="3" max="16384" width="8.88671875" style="2"/>
  </cols>
  <sheetData>
    <row r="3" spans="1:2" x14ac:dyDescent="0.3">
      <c r="A3" s="7" t="s">
        <v>1</v>
      </c>
      <c r="B3" s="2" t="s">
        <v>41</v>
      </c>
    </row>
    <row r="4" spans="1:2" x14ac:dyDescent="0.3">
      <c r="A4" s="2" t="s">
        <v>13</v>
      </c>
      <c r="B4" s="6">
        <v>6999</v>
      </c>
    </row>
    <row r="5" spans="1:2" x14ac:dyDescent="0.3">
      <c r="A5" s="2" t="s">
        <v>9</v>
      </c>
      <c r="B5" s="6">
        <v>5499</v>
      </c>
    </row>
    <row r="6" spans="1:2" x14ac:dyDescent="0.3">
      <c r="A6" s="2" t="s">
        <v>15</v>
      </c>
      <c r="B6" s="6">
        <v>3749</v>
      </c>
    </row>
    <row r="7" spans="1:2" x14ac:dyDescent="0.3">
      <c r="A7" s="2" t="s">
        <v>18</v>
      </c>
      <c r="B7" s="6">
        <v>2899</v>
      </c>
    </row>
    <row r="8" spans="1:2" x14ac:dyDescent="0.3">
      <c r="A8" s="2" t="s">
        <v>27</v>
      </c>
      <c r="B8" s="6">
        <v>5079</v>
      </c>
    </row>
    <row r="12" spans="1:2" x14ac:dyDescent="0.3">
      <c r="A12" s="1" t="s">
        <v>42</v>
      </c>
      <c r="B12" s="1" t="str">
        <f>_xlfn.XLOOKUP(MAX(B4:B7),B4:B7,A4:A7,)</f>
        <v>Programming</v>
      </c>
    </row>
    <row r="16" spans="1:2" x14ac:dyDescent="0.3">
      <c r="A16" s="1" t="s">
        <v>43</v>
      </c>
      <c r="B16" s="5">
        <f>VLOOKUP(A4,A4:B7,2,FALSE)</f>
        <v>6999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DD35-7B35-4A9E-AC10-E4F0798ABB52}">
  <sheetPr codeName="Sheet6"/>
  <dimension ref="A3:B15"/>
  <sheetViews>
    <sheetView workbookViewId="0">
      <selection activeCell="D25" sqref="D25"/>
    </sheetView>
  </sheetViews>
  <sheetFormatPr defaultRowHeight="14.4" x14ac:dyDescent="0.3"/>
  <cols>
    <col min="1" max="1" width="52.77734375" style="2" bestFit="1" customWidth="1"/>
    <col min="2" max="2" width="22.6640625" style="2" bestFit="1" customWidth="1"/>
    <col min="3" max="16384" width="8.88671875" style="2"/>
  </cols>
  <sheetData>
    <row r="3" spans="1:2" x14ac:dyDescent="0.3">
      <c r="A3" s="7" t="s">
        <v>26</v>
      </c>
      <c r="B3" s="2" t="s">
        <v>45</v>
      </c>
    </row>
    <row r="4" spans="1:2" x14ac:dyDescent="0.3">
      <c r="A4" s="2" t="s">
        <v>31</v>
      </c>
      <c r="B4" s="8">
        <v>35</v>
      </c>
    </row>
    <row r="5" spans="1:2" x14ac:dyDescent="0.3">
      <c r="A5" s="2" t="s">
        <v>33</v>
      </c>
      <c r="B5" s="8">
        <v>17.666666666666668</v>
      </c>
    </row>
    <row r="6" spans="1:2" x14ac:dyDescent="0.3">
      <c r="A6" s="2" t="s">
        <v>44</v>
      </c>
      <c r="B6" s="8">
        <v>8</v>
      </c>
    </row>
    <row r="7" spans="1:2" x14ac:dyDescent="0.3">
      <c r="A7" s="2" t="s">
        <v>27</v>
      </c>
      <c r="B7" s="2">
        <v>21.7</v>
      </c>
    </row>
    <row r="11" spans="1:2" x14ac:dyDescent="0.3">
      <c r="A11" s="1" t="s">
        <v>46</v>
      </c>
      <c r="B11" s="1" t="str">
        <f>_xlfn.XLOOKUP(MIN(B4:B6),B4:B6,A4:A6,)</f>
        <v>Poor</v>
      </c>
    </row>
    <row r="15" spans="1:2" x14ac:dyDescent="0.3">
      <c r="A15" s="1" t="s">
        <v>47</v>
      </c>
      <c r="B15" s="1">
        <f>VLOOKUP(A6,A4:B6,2,FALSE)</f>
        <v>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3150-99C5-45D9-87FF-A790F5983B14}">
  <sheetPr codeName="Sheet1"/>
  <dimension ref="A1:L11"/>
  <sheetViews>
    <sheetView tabSelected="1" workbookViewId="0">
      <selection activeCell="H19" sqref="H19"/>
    </sheetView>
  </sheetViews>
  <sheetFormatPr defaultRowHeight="14.4" x14ac:dyDescent="0.3"/>
  <cols>
    <col min="1" max="1" width="9.44140625" style="2" bestFit="1" customWidth="1"/>
    <col min="2" max="2" width="14.44140625" style="4" bestFit="1" customWidth="1"/>
    <col min="3" max="3" width="10.88671875" style="6" bestFit="1" customWidth="1"/>
    <col min="4" max="4" width="16.5546875" style="2" bestFit="1" customWidth="1"/>
    <col min="5" max="5" width="21" style="2" bestFit="1" customWidth="1"/>
    <col min="6" max="6" width="13.109375" style="2" bestFit="1" customWidth="1"/>
    <col min="7" max="8" width="16.109375" style="4" bestFit="1" customWidth="1"/>
    <col min="9" max="9" width="14.21875" style="2" bestFit="1" customWidth="1"/>
    <col min="10" max="10" width="16" style="2" bestFit="1" customWidth="1"/>
    <col min="11" max="11" width="22" style="4" bestFit="1" customWidth="1"/>
    <col min="12" max="12" width="10.44140625" style="2" bestFit="1" customWidth="1"/>
    <col min="13" max="16384" width="8.88671875" style="2"/>
  </cols>
  <sheetData>
    <row r="1" spans="1:12" x14ac:dyDescent="0.3">
      <c r="A1" s="1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24</v>
      </c>
      <c r="J1" s="1" t="s">
        <v>25</v>
      </c>
      <c r="K1" s="3" t="s">
        <v>26</v>
      </c>
      <c r="L1" s="1" t="s">
        <v>37</v>
      </c>
    </row>
    <row r="2" spans="1:12" x14ac:dyDescent="0.3">
      <c r="A2" s="2" t="s">
        <v>8</v>
      </c>
      <c r="B2" s="4" t="s">
        <v>9</v>
      </c>
      <c r="C2" s="6">
        <v>4999</v>
      </c>
      <c r="D2" s="2">
        <f xml:space="preserve"> 8</f>
        <v>8</v>
      </c>
      <c r="E2" s="2">
        <v>2</v>
      </c>
      <c r="F2" s="2">
        <v>2</v>
      </c>
      <c r="G2" s="4" t="s">
        <v>10</v>
      </c>
      <c r="H2" s="4" t="s">
        <v>11</v>
      </c>
      <c r="I2" s="2">
        <f>IF(H2="Yes",1,0)</f>
        <v>0</v>
      </c>
      <c r="J2" s="2" t="str">
        <f>IF(D2&lt;10,"Low",IF(D2&lt;25,"Moderate","High"))</f>
        <v>Low</v>
      </c>
      <c r="K2" s="4" t="str">
        <f>IF(E2&lt;3,"Poor",IF(E2&lt;7,"Moderate","High"))</f>
        <v>Poor</v>
      </c>
      <c r="L2" s="2">
        <f>IF(G2="Yes",1,0)</f>
        <v>1</v>
      </c>
    </row>
    <row r="3" spans="1:12" x14ac:dyDescent="0.3">
      <c r="A3" s="2" t="s">
        <v>12</v>
      </c>
      <c r="B3" s="4" t="s">
        <v>13</v>
      </c>
      <c r="C3" s="6">
        <v>6999</v>
      </c>
      <c r="D3" s="2">
        <f xml:space="preserve"> 42</f>
        <v>42</v>
      </c>
      <c r="E3" s="2">
        <v>10</v>
      </c>
      <c r="F3" s="2">
        <v>5</v>
      </c>
      <c r="G3" s="4" t="s">
        <v>11</v>
      </c>
      <c r="H3" s="4" t="s">
        <v>10</v>
      </c>
      <c r="I3" s="2">
        <f t="shared" ref="I3:I11" si="0">IF(H3="Yes",1,0)</f>
        <v>1</v>
      </c>
      <c r="J3" s="2" t="str">
        <f t="shared" ref="J3:J11" si="1">IF(D3&lt;10,"Low",IF(D3&lt;25,"Moderate","High"))</f>
        <v>High</v>
      </c>
      <c r="K3" s="4" t="str">
        <f t="shared" ref="K3:K11" si="2">IF(E3&lt;3,"Poor",IF(E3&lt;7,"Moderate","High"))</f>
        <v>High</v>
      </c>
      <c r="L3" s="2">
        <f t="shared" ref="L3:L11" si="3">IF(G3="Yes",1,0)</f>
        <v>0</v>
      </c>
    </row>
    <row r="4" spans="1:12" x14ac:dyDescent="0.3">
      <c r="A4" s="2" t="s">
        <v>14</v>
      </c>
      <c r="B4" s="4" t="s">
        <v>15</v>
      </c>
      <c r="C4" s="6">
        <v>3499</v>
      </c>
      <c r="D4" s="2">
        <f xml:space="preserve"> 18</f>
        <v>18</v>
      </c>
      <c r="E4" s="2">
        <v>5</v>
      </c>
      <c r="F4" s="2">
        <v>4</v>
      </c>
      <c r="G4" s="4" t="s">
        <v>11</v>
      </c>
      <c r="H4" s="4" t="s">
        <v>10</v>
      </c>
      <c r="I4" s="2">
        <f t="shared" si="0"/>
        <v>1</v>
      </c>
      <c r="J4" s="2" t="str">
        <f t="shared" si="1"/>
        <v>Moderate</v>
      </c>
      <c r="K4" s="4" t="str">
        <f t="shared" si="2"/>
        <v>Moderate</v>
      </c>
      <c r="L4" s="2">
        <f t="shared" si="3"/>
        <v>0</v>
      </c>
    </row>
    <row r="5" spans="1:12" x14ac:dyDescent="0.3">
      <c r="A5" s="2" t="s">
        <v>16</v>
      </c>
      <c r="B5" s="4" t="s">
        <v>9</v>
      </c>
      <c r="C5" s="6">
        <v>5999</v>
      </c>
      <c r="D5" s="2">
        <f xml:space="preserve"> 6</f>
        <v>6</v>
      </c>
      <c r="E5" s="2">
        <v>1</v>
      </c>
      <c r="F5" s="2">
        <v>1</v>
      </c>
      <c r="G5" s="4" t="s">
        <v>10</v>
      </c>
      <c r="H5" s="4" t="s">
        <v>11</v>
      </c>
      <c r="I5" s="2">
        <f t="shared" si="0"/>
        <v>0</v>
      </c>
      <c r="J5" s="2" t="str">
        <f t="shared" si="1"/>
        <v>Low</v>
      </c>
      <c r="K5" s="4" t="str">
        <f t="shared" si="2"/>
        <v>Poor</v>
      </c>
      <c r="L5" s="2">
        <f t="shared" si="3"/>
        <v>1</v>
      </c>
    </row>
    <row r="6" spans="1:12" x14ac:dyDescent="0.3">
      <c r="A6" s="2" t="s">
        <v>17</v>
      </c>
      <c r="B6" s="4" t="s">
        <v>18</v>
      </c>
      <c r="C6" s="6">
        <v>2999</v>
      </c>
      <c r="D6" s="2">
        <f xml:space="preserve"> 25</f>
        <v>25</v>
      </c>
      <c r="E6" s="2">
        <v>7</v>
      </c>
      <c r="F6" s="2">
        <v>5</v>
      </c>
      <c r="G6" s="4" t="s">
        <v>11</v>
      </c>
      <c r="H6" s="4" t="s">
        <v>10</v>
      </c>
      <c r="I6" s="2">
        <f t="shared" si="0"/>
        <v>1</v>
      </c>
      <c r="J6" s="2" t="str">
        <f t="shared" si="1"/>
        <v>High</v>
      </c>
      <c r="K6" s="4" t="str">
        <f t="shared" si="2"/>
        <v>High</v>
      </c>
      <c r="L6" s="2">
        <f t="shared" si="3"/>
        <v>0</v>
      </c>
    </row>
    <row r="7" spans="1:12" x14ac:dyDescent="0.3">
      <c r="A7" s="2" t="s">
        <v>19</v>
      </c>
      <c r="B7" s="4" t="s">
        <v>13</v>
      </c>
      <c r="C7" s="6">
        <v>6499</v>
      </c>
      <c r="D7" s="2">
        <f xml:space="preserve"> 20</f>
        <v>20</v>
      </c>
      <c r="E7" s="2">
        <v>4</v>
      </c>
      <c r="F7" s="2">
        <v>3</v>
      </c>
      <c r="G7" s="4" t="s">
        <v>11</v>
      </c>
      <c r="H7" s="4" t="s">
        <v>11</v>
      </c>
      <c r="I7" s="2">
        <f t="shared" si="0"/>
        <v>0</v>
      </c>
      <c r="J7" s="2" t="str">
        <f t="shared" si="1"/>
        <v>Moderate</v>
      </c>
      <c r="K7" s="4" t="str">
        <f t="shared" si="2"/>
        <v>Moderate</v>
      </c>
      <c r="L7" s="2">
        <f t="shared" si="3"/>
        <v>0</v>
      </c>
    </row>
    <row r="8" spans="1:12" x14ac:dyDescent="0.3">
      <c r="A8" s="2" t="s">
        <v>20</v>
      </c>
      <c r="B8" s="4" t="s">
        <v>15</v>
      </c>
      <c r="C8" s="6">
        <v>3999</v>
      </c>
      <c r="D8" s="2">
        <f xml:space="preserve"> 15</f>
        <v>15</v>
      </c>
      <c r="E8" s="2">
        <v>3</v>
      </c>
      <c r="F8" s="2">
        <v>3</v>
      </c>
      <c r="G8" s="4" t="s">
        <v>10</v>
      </c>
      <c r="H8" s="4" t="s">
        <v>11</v>
      </c>
      <c r="I8" s="2">
        <f t="shared" si="0"/>
        <v>0</v>
      </c>
      <c r="J8" s="2" t="str">
        <f t="shared" si="1"/>
        <v>Moderate</v>
      </c>
      <c r="K8" s="4" t="str">
        <f t="shared" si="2"/>
        <v>Moderate</v>
      </c>
      <c r="L8" s="2">
        <f t="shared" si="3"/>
        <v>1</v>
      </c>
    </row>
    <row r="9" spans="1:12" x14ac:dyDescent="0.3">
      <c r="A9" s="2" t="s">
        <v>21</v>
      </c>
      <c r="B9" s="4" t="s">
        <v>18</v>
      </c>
      <c r="C9" s="6">
        <v>2799</v>
      </c>
      <c r="D9" s="2">
        <f xml:space="preserve"> 28</f>
        <v>28</v>
      </c>
      <c r="E9" s="2">
        <v>8</v>
      </c>
      <c r="F9" s="2">
        <v>5</v>
      </c>
      <c r="G9" s="4" t="s">
        <v>11</v>
      </c>
      <c r="H9" s="4" t="s">
        <v>10</v>
      </c>
      <c r="I9" s="2">
        <f t="shared" si="0"/>
        <v>1</v>
      </c>
      <c r="J9" s="2" t="str">
        <f t="shared" si="1"/>
        <v>High</v>
      </c>
      <c r="K9" s="4" t="str">
        <f t="shared" si="2"/>
        <v>High</v>
      </c>
      <c r="L9" s="2">
        <f t="shared" si="3"/>
        <v>0</v>
      </c>
    </row>
    <row r="10" spans="1:12" x14ac:dyDescent="0.3">
      <c r="A10" s="2" t="s">
        <v>22</v>
      </c>
      <c r="B10" s="4" t="s">
        <v>9</v>
      </c>
      <c r="C10" s="6">
        <v>5499</v>
      </c>
      <c r="D10" s="2">
        <f xml:space="preserve"> 10</f>
        <v>10</v>
      </c>
      <c r="E10" s="2">
        <v>2</v>
      </c>
      <c r="F10" s="2">
        <v>2</v>
      </c>
      <c r="G10" s="4" t="s">
        <v>10</v>
      </c>
      <c r="H10" s="4" t="s">
        <v>11</v>
      </c>
      <c r="I10" s="2">
        <f t="shared" si="0"/>
        <v>0</v>
      </c>
      <c r="J10" s="2" t="str">
        <f t="shared" si="1"/>
        <v>Moderate</v>
      </c>
      <c r="K10" s="4" t="str">
        <f t="shared" si="2"/>
        <v>Poor</v>
      </c>
      <c r="L10" s="2">
        <f t="shared" si="3"/>
        <v>1</v>
      </c>
    </row>
    <row r="11" spans="1:12" x14ac:dyDescent="0.3">
      <c r="A11" s="2" t="s">
        <v>23</v>
      </c>
      <c r="B11" s="4" t="s">
        <v>13</v>
      </c>
      <c r="C11" s="6">
        <v>7499</v>
      </c>
      <c r="D11" s="2">
        <f xml:space="preserve"> 45</f>
        <v>45</v>
      </c>
      <c r="E11" s="2">
        <v>12</v>
      </c>
      <c r="F11" s="2">
        <v>5</v>
      </c>
      <c r="G11" s="4" t="s">
        <v>11</v>
      </c>
      <c r="H11" s="4" t="s">
        <v>10</v>
      </c>
      <c r="I11" s="2">
        <f t="shared" si="0"/>
        <v>1</v>
      </c>
      <c r="J11" s="2" t="str">
        <f t="shared" si="1"/>
        <v>High</v>
      </c>
      <c r="K11" s="4" t="str">
        <f t="shared" si="2"/>
        <v>High</v>
      </c>
      <c r="L11" s="2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Completion rate by CourseCatego</vt:lpstr>
      <vt:lpstr>Avg StudentRating by Engagement</vt:lpstr>
      <vt:lpstr>Count of RefundFlag by CourseCa</vt:lpstr>
      <vt:lpstr>Avg CoursePrice by CourseCatego</vt:lpstr>
      <vt:lpstr>Avg watchtime hours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</dc:creator>
  <cp:lastModifiedBy>Swaroopa B</cp:lastModifiedBy>
  <dcterms:created xsi:type="dcterms:W3CDTF">2026-07-06T13:45:37Z</dcterms:created>
  <dcterms:modified xsi:type="dcterms:W3CDTF">2026-07-13T16:05:17Z</dcterms:modified>
</cp:coreProperties>
</file>