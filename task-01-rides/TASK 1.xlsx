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"/>
    </mc:Choice>
  </mc:AlternateContent>
  <xr:revisionPtr revIDLastSave="0" documentId="13_ncr:1_{0720E77A-76BE-41EE-90E2-6E1C384893E2}" xr6:coauthVersionLast="47" xr6:coauthVersionMax="47" xr10:uidLastSave="{00000000-0000-0000-0000-000000000000}"/>
  <bookViews>
    <workbookView xWindow="-108" yWindow="-108" windowWidth="23256" windowHeight="12456" firstSheet="3" activeTab="5" xr2:uid="{F82056BA-6A20-47D9-80FA-C071C6E84720}"/>
  </bookViews>
  <sheets>
    <sheet name="Revenue by City" sheetId="3" r:id="rId1"/>
    <sheet name="Revenue by VehicleType" sheetId="4" r:id="rId2"/>
    <sheet name="Driver Rating by City" sheetId="5" r:id="rId3"/>
    <sheet name="Revenue by PaymentMode" sheetId="6" r:id="rId4"/>
    <sheet name="Revenue by TripDate" sheetId="7" r:id="rId5"/>
    <sheet name="Dataset" sheetId="1" r:id="rId6"/>
  </sheets>
  <calcPr calcId="191029"/>
  <pivotCaches>
    <pivotCache cacheId="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7" l="1"/>
  <c r="B10" i="6"/>
  <c r="B11" i="5"/>
  <c r="B11" i="4"/>
  <c r="B12" i="3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<sst xmlns="http://schemas.openxmlformats.org/spreadsheetml/2006/main" count="74" uniqueCount="30">
  <si>
    <t>TripID</t>
  </si>
  <si>
    <t>TripDate</t>
  </si>
  <si>
    <t>City</t>
  </si>
  <si>
    <t>VehicleType</t>
  </si>
  <si>
    <t>Distance_km</t>
  </si>
  <si>
    <t>FarePerKm</t>
  </si>
  <si>
    <t>SurgeMultiplier</t>
  </si>
  <si>
    <t>DriverRating</t>
  </si>
  <si>
    <t>PaymentMode</t>
  </si>
  <si>
    <t>Delhi</t>
  </si>
  <si>
    <t>Mini</t>
  </si>
  <si>
    <t>UPI</t>
  </si>
  <si>
    <t>Mumbai</t>
  </si>
  <si>
    <t>Sedan</t>
  </si>
  <si>
    <t>Card</t>
  </si>
  <si>
    <t>Bangalore</t>
  </si>
  <si>
    <t>Cash</t>
  </si>
  <si>
    <t>SUV</t>
  </si>
  <si>
    <t>Hyderabad</t>
  </si>
  <si>
    <t>Grand Total</t>
  </si>
  <si>
    <t>Fare/Revenue</t>
  </si>
  <si>
    <t>Sum of Fare/Revenue</t>
  </si>
  <si>
    <t>City with highest revenue</t>
  </si>
  <si>
    <t>Vehicle Type which has more fare</t>
  </si>
  <si>
    <t>Average of DriverRating</t>
  </si>
  <si>
    <t xml:space="preserve">City which has lowest average Driver Rating </t>
  </si>
  <si>
    <t>Best PaymentMode Method</t>
  </si>
  <si>
    <t>Date which has lowest revenue</t>
  </si>
  <si>
    <t>Payment Mode</t>
  </si>
  <si>
    <t>Vehicle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</si>
</sst>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8" fontId="1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1.xlsx]Revenue by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95000"/>
              <a:lumOff val="5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'Revenue by City'!$A$4:$A$8</c:f>
              <c:strCache>
                <c:ptCount val="4"/>
                <c:pt idx="0">
                  <c:v>Delhi</c:v>
                </c:pt>
                <c:pt idx="1">
                  <c:v>Bangalore</c:v>
                </c:pt>
                <c:pt idx="2">
                  <c:v>Mumbai</c:v>
                </c:pt>
                <c:pt idx="3">
                  <c:v>Hyderabad</c:v>
                </c:pt>
              </c:strCache>
            </c:strRef>
          </c:cat>
          <c:val>
            <c:numRef>
              <c:f>'Revenue by City'!$B$4:$B$8</c:f>
              <c:numCache>
                <c:formatCode>"₹"\ #,##0.00</c:formatCode>
                <c:ptCount val="4"/>
                <c:pt idx="0">
                  <c:v>699</c:v>
                </c:pt>
                <c:pt idx="1">
                  <c:v>578.4</c:v>
                </c:pt>
                <c:pt idx="2">
                  <c:v>459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91-4028-B592-7FCE218B3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798767"/>
        <c:axId val="2113783407"/>
      </c:barChart>
      <c:catAx>
        <c:axId val="211379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83407"/>
        <c:crosses val="autoZero"/>
        <c:auto val="1"/>
        <c:lblAlgn val="ctr"/>
        <c:lblOffset val="100"/>
        <c:noMultiLvlLbl val="0"/>
      </c:catAx>
      <c:valAx>
        <c:axId val="211378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9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  <a:alpha val="6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1.xlsx]Revenue by VehicleType!PivotTable3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VehicleType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VehicleType'!$B$3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'Revenue by VehicleType'!$A$4:$A$7</c:f>
              <c:strCache>
                <c:ptCount val="3"/>
                <c:pt idx="0">
                  <c:v>Mini</c:v>
                </c:pt>
                <c:pt idx="1">
                  <c:v>Sedan</c:v>
                </c:pt>
                <c:pt idx="2">
                  <c:v>SUV</c:v>
                </c:pt>
              </c:strCache>
            </c:strRef>
          </c:cat>
          <c:val>
            <c:numRef>
              <c:f>'Revenue by VehicleType'!$B$4:$B$7</c:f>
              <c:numCache>
                <c:formatCode>"₹"\ #,##0.00</c:formatCode>
                <c:ptCount val="3"/>
                <c:pt idx="0">
                  <c:v>360</c:v>
                </c:pt>
                <c:pt idx="1">
                  <c:v>609</c:v>
                </c:pt>
                <c:pt idx="2">
                  <c:v>923.4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77-448D-B539-0F42D3501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13819407"/>
        <c:axId val="2113826127"/>
      </c:barChart>
      <c:catAx>
        <c:axId val="2113819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826127"/>
        <c:crosses val="autoZero"/>
        <c:auto val="1"/>
        <c:lblAlgn val="ctr"/>
        <c:lblOffset val="100"/>
        <c:noMultiLvlLbl val="0"/>
      </c:catAx>
      <c:valAx>
        <c:axId val="211382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81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  <a:alpha val="6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1.xlsx]Driver Rating by City!PivotTable4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Driver Rating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4">
              <a:lumMod val="50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7030A0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'Driver Rating by City'!$B$3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748-414F-804F-00585AD05DA6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B748-414F-804F-00585AD05DA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748-414F-804F-00585AD05DA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B748-414F-804F-00585AD05DA6}"/>
              </c:ext>
            </c:extLst>
          </c:dPt>
          <c:cat>
            <c:strRef>
              <c:f>'Driver Rating by City'!$A$4:$A$8</c:f>
              <c:strCache>
                <c:ptCount val="4"/>
                <c:pt idx="0">
                  <c:v>Delhi</c:v>
                </c:pt>
                <c:pt idx="1">
                  <c:v>Bangalore</c:v>
                </c:pt>
                <c:pt idx="2">
                  <c:v>Mumbai</c:v>
                </c:pt>
                <c:pt idx="3">
                  <c:v>Hyderabad</c:v>
                </c:pt>
              </c:strCache>
            </c:strRef>
          </c:cat>
          <c:val>
            <c:numRef>
              <c:f>'Driver Rating by City'!$B$4:$B$8</c:f>
              <c:numCache>
                <c:formatCode>0.00</c:formatCode>
                <c:ptCount val="4"/>
                <c:pt idx="0">
                  <c:v>4.5666666666666673</c:v>
                </c:pt>
                <c:pt idx="1">
                  <c:v>4.5500000000000007</c:v>
                </c:pt>
                <c:pt idx="2">
                  <c:v>4.4333333333333336</c:v>
                </c:pt>
                <c:pt idx="3">
                  <c:v>4.1999999999999993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8-414F-804F-00585AD05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cylinder"/>
        <c:axId val="2113829967"/>
        <c:axId val="2113814127"/>
        <c:axId val="0"/>
      </c:bar3DChart>
      <c:catAx>
        <c:axId val="211382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814127"/>
        <c:crosses val="autoZero"/>
        <c:auto val="1"/>
        <c:lblAlgn val="ctr"/>
        <c:lblOffset val="100"/>
        <c:noMultiLvlLbl val="0"/>
      </c:catAx>
      <c:valAx>
        <c:axId val="211381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82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1.xlsx]Revenue by PaymentMode!PivotTable5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PaymentMode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lumMod val="5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PaymentMode'!$B$3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7C6-4817-AF95-01999FA57FAA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7C6-4817-AF95-01999FA57FAA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C6-4817-AF95-01999FA57FAA}"/>
              </c:ext>
            </c:extLst>
          </c:dPt>
          <c:cat>
            <c:strRef>
              <c:f>'Revenue by PaymentMode'!$A$4:$A$7</c:f>
              <c:strCache>
                <c:ptCount val="3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</c:strCache>
            </c:strRef>
          </c:cat>
          <c:val>
            <c:numRef>
              <c:f>'Revenue by PaymentMode'!$B$4:$B$7</c:f>
              <c:numCache>
                <c:formatCode>"₹"\ #,##0.00</c:formatCode>
                <c:ptCount val="3"/>
                <c:pt idx="0">
                  <c:v>1067.4000000000001</c:v>
                </c:pt>
                <c:pt idx="1">
                  <c:v>609</c:v>
                </c:pt>
                <c:pt idx="2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6-4817-AF95-01999FA57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  <a:alpha val="6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1.xlsx]Revenue by TripDate!PivotTable6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TripDate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TripDate'!$B$3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by TripDate'!$A$4:$A$9</c:f>
              <c:strCache>
                <c:ptCount val="5"/>
                <c:pt idx="0">
                  <c:v>01-04-2026</c:v>
                </c:pt>
                <c:pt idx="1">
                  <c:v>02-04-2026</c:v>
                </c:pt>
                <c:pt idx="2">
                  <c:v>03-04-2026</c:v>
                </c:pt>
                <c:pt idx="3">
                  <c:v>04-04-2026</c:v>
                </c:pt>
                <c:pt idx="4">
                  <c:v>05-04-2026</c:v>
                </c:pt>
              </c:strCache>
            </c:strRef>
          </c:cat>
          <c:val>
            <c:numRef>
              <c:f>'Revenue by TripDate'!$B$4:$B$9</c:f>
              <c:numCache>
                <c:formatCode>"₹"\ #,##0.00</c:formatCode>
                <c:ptCount val="5"/>
                <c:pt idx="0">
                  <c:v>312</c:v>
                </c:pt>
                <c:pt idx="1">
                  <c:v>465</c:v>
                </c:pt>
                <c:pt idx="2">
                  <c:v>279</c:v>
                </c:pt>
                <c:pt idx="3">
                  <c:v>590.4</c:v>
                </c:pt>
                <c:pt idx="4">
                  <c:v>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1-4EE6-B0BC-19CD0E75E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17999"/>
        <c:axId val="140914639"/>
      </c:lineChart>
      <c:catAx>
        <c:axId val="1409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4639"/>
        <c:crosses val="autoZero"/>
        <c:auto val="1"/>
        <c:lblAlgn val="ctr"/>
        <c:lblOffset val="100"/>
        <c:noMultiLvlLbl val="0"/>
      </c:catAx>
      <c:valAx>
        <c:axId val="1409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  <a:alpha val="6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148590</xdr:rowOff>
    </xdr:from>
    <xdr:to>
      <xdr:col>14</xdr:col>
      <xdr:colOff>7620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98F80-D750-5918-4523-12F3E75A3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167640</xdr:rowOff>
    </xdr:from>
    <xdr:to>
      <xdr:col>14</xdr:col>
      <xdr:colOff>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3CC6B-4653-C7C2-7A4C-A8BC7C41A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</xdr:rowOff>
    </xdr:from>
    <xdr:to>
      <xdr:col>12</xdr:col>
      <xdr:colOff>594360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A83F2-8975-06D6-F5AF-8CC2FB221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3810</xdr:rowOff>
    </xdr:from>
    <xdr:to>
      <xdr:col>10</xdr:col>
      <xdr:colOff>281940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82D7E-F66F-29A1-60DE-D10584185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3810</xdr:rowOff>
    </xdr:from>
    <xdr:to>
      <xdr:col>12</xdr:col>
      <xdr:colOff>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7F7A3-5B57-C5B0-41E6-25E956D82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1.636500462962" createdVersion="8" refreshedVersion="8" minRefreshableVersion="3" recordCount="10" xr:uid="{0FECA83B-06FF-4D24-9FE7-758CEF0E76A6}">
  <cacheSource type="worksheet">
    <worksheetSource ref="A1:J11" sheet="Dataset"/>
  </cacheSource>
  <cacheFields count="10">
    <cacheField name="TripID" numFmtId="0">
      <sharedItems containsSemiMixedTypes="0" containsString="0" containsNumber="1" containsInteger="1" minValue="8001" maxValue="8010"/>
    </cacheField>
    <cacheField name="TripDate" numFmtId="14">
      <sharedItems containsSemiMixedTypes="0" containsNonDate="0" containsDate="1" containsString="0" minDate="2026-04-01T00:00:00" maxDate="2026-04-06T00:00:00" count="5">
        <d v="2026-04-01T00:00:00"/>
        <d v="2026-04-02T00:00:00"/>
        <d v="2026-04-03T00:00:00"/>
        <d v="2026-04-04T00:00:00"/>
        <d v="2026-04-05T00:00:00"/>
      </sharedItems>
    </cacheField>
    <cacheField name="City" numFmtId="0">
      <sharedItems count="4">
        <s v="Delhi"/>
        <s v="Mumbai"/>
        <s v="Bangalore"/>
        <s v="Hyderabad"/>
      </sharedItems>
    </cacheField>
    <cacheField name="VehicleType" numFmtId="0">
      <sharedItems count="3">
        <s v="Mini"/>
        <s v="Sedan"/>
        <s v="SUV"/>
      </sharedItems>
    </cacheField>
    <cacheField name="Distance_km" numFmtId="0">
      <sharedItems containsSemiMixedTypes="0" containsString="0" containsNumber="1" containsInteger="1" minValue="4" maxValue="18"/>
    </cacheField>
    <cacheField name="FarePerKm" numFmtId="0">
      <sharedItems containsSemiMixedTypes="0" containsString="0" containsNumber="1" containsInteger="1" minValue="12" maxValue="18"/>
    </cacheField>
    <cacheField name="SurgeMultiplier" numFmtId="0">
      <sharedItems containsSemiMixedTypes="0" containsString="0" containsNumber="1" minValue="1" maxValue="1.6"/>
    </cacheField>
    <cacheField name="DriverRating" numFmtId="2">
      <sharedItems containsSemiMixedTypes="0" containsString="0" containsNumber="1" minValue="4" maxValue="4.9000000000000004"/>
    </cacheField>
    <cacheField name="PaymentMode" numFmtId="0">
      <sharedItems count="3">
        <s v="UPI"/>
        <s v="Card"/>
        <s v="Cash"/>
      </sharedItems>
    </cacheField>
    <cacheField name="Fare/Revenue" numFmtId="168">
      <sharedItems containsSemiMixedTypes="0" containsString="0" containsNumber="1" minValue="48" maxValue="51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8001"/>
    <x v="0"/>
    <x v="0"/>
    <x v="0"/>
    <n v="8"/>
    <n v="12"/>
    <n v="1"/>
    <n v="4.5"/>
    <x v="0"/>
    <n v="96"/>
  </r>
  <r>
    <n v="8002"/>
    <x v="0"/>
    <x v="1"/>
    <x v="1"/>
    <n v="12"/>
    <n v="15"/>
    <n v="1.2"/>
    <n v="4.7"/>
    <x v="1"/>
    <n v="216"/>
  </r>
  <r>
    <n v="8003"/>
    <x v="1"/>
    <x v="2"/>
    <x v="0"/>
    <n v="5"/>
    <n v="12"/>
    <n v="1"/>
    <n v="4.2"/>
    <x v="2"/>
    <n v="60"/>
  </r>
  <r>
    <n v="8004"/>
    <x v="1"/>
    <x v="0"/>
    <x v="2"/>
    <n v="15"/>
    <n v="18"/>
    <n v="1.5"/>
    <n v="4.8"/>
    <x v="0"/>
    <n v="405"/>
  </r>
  <r>
    <n v="8005"/>
    <x v="2"/>
    <x v="3"/>
    <x v="0"/>
    <n v="7"/>
    <n v="12"/>
    <n v="1"/>
    <n v="4.0999999999999996"/>
    <x v="2"/>
    <n v="84"/>
  </r>
  <r>
    <n v="8006"/>
    <x v="2"/>
    <x v="1"/>
    <x v="1"/>
    <n v="10"/>
    <n v="15"/>
    <n v="1.3"/>
    <n v="4.5999999999999996"/>
    <x v="1"/>
    <n v="195"/>
  </r>
  <r>
    <n v="8007"/>
    <x v="3"/>
    <x v="2"/>
    <x v="2"/>
    <n v="18"/>
    <n v="18"/>
    <n v="1.6"/>
    <n v="4.9000000000000004"/>
    <x v="0"/>
    <n v="518.4"/>
  </r>
  <r>
    <n v="8008"/>
    <x v="3"/>
    <x v="3"/>
    <x v="0"/>
    <n v="6"/>
    <n v="12"/>
    <n v="1"/>
    <n v="4.3"/>
    <x v="2"/>
    <n v="72"/>
  </r>
  <r>
    <n v="8009"/>
    <x v="4"/>
    <x v="0"/>
    <x v="1"/>
    <n v="11"/>
    <n v="15"/>
    <n v="1.2"/>
    <n v="4.4000000000000004"/>
    <x v="1"/>
    <n v="198"/>
  </r>
  <r>
    <n v="8010"/>
    <x v="4"/>
    <x v="1"/>
    <x v="0"/>
    <n v="4"/>
    <n v="12"/>
    <n v="1"/>
    <n v="4"/>
    <x v="0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09682-33CF-49E1-987B-EC624F3ACB0A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ity">
  <location ref="A3:B8" firstHeaderRow="1" firstDataRow="1" firstDataCol="1"/>
  <pivotFields count="10">
    <pivotField showAll="0"/>
    <pivotField numFmtId="14"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dataField="1" numFmtId="168" showAll="0"/>
  </pivotFields>
  <rowFields count="1">
    <field x="2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Fare/Revenue" fld="9" baseField="0" baseItem="0" numFmtId="168"/>
  </dataFields>
  <formats count="6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2" type="button" dataOnly="0" labelOnly="1" outline="0" axis="axisRow" fieldPosition="0"/>
    </format>
    <format dxfId="27">
      <pivotArea dataOnly="0" labelOnly="1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83BFF-0B19-4527-AB4C-D61121384E25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Vehicle Type">
  <location ref="A3:B7" firstHeaderRow="1" firstDataRow="1" firstDataCol="1"/>
  <pivotFields count="10">
    <pivotField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showAll="0"/>
    <pivotField dataField="1" numFmtId="168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are/Revenue" fld="9" baseField="0" baseItem="0" numFmtId="168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C05CE-3E10-4D9E-A508-508210197072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ity">
  <location ref="A3:B8" firstHeaderRow="1" firstDataRow="1" firstDataCol="1"/>
  <pivotFields count="10">
    <pivotField showAll="0"/>
    <pivotField numFmtId="14"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2" showAll="0"/>
    <pivotField showAll="0"/>
    <pivotField numFmtId="168" showAll="0"/>
  </pivotFields>
  <rowFields count="1">
    <field x="2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Average of DriverRating" fld="7" subtotal="average" baseField="2" baseItem="0" numFmtId="2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B8446-9D6F-4467-BB81-886AEDAE78C4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ayment Mode">
  <location ref="A3:B7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showAll="0"/>
    <pivotField numFmtId="2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8" showAll="0"/>
  </pivotFields>
  <rowFields count="1">
    <field x="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Fare/Revenue" fld="9" baseField="0" baseItem="0" numFmtId="168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0F421-2903-49F4-96FC-46FBCEB99945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TripDate">
  <location ref="A3:B9" firstHeaderRow="1" firstDataRow="1" firstDataCol="1"/>
  <pivotFields count="10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dataField="1" numFmtId="168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are/Revenue" fld="9" baseField="0" baseItem="0" numFmtId="168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4084-1FDA-4239-BF1C-F2D986106F2A}">
  <sheetPr codeName="Sheet1"/>
  <dimension ref="A3:B12"/>
  <sheetViews>
    <sheetView workbookViewId="0">
      <selection activeCell="A4" sqref="A4"/>
    </sheetView>
  </sheetViews>
  <sheetFormatPr defaultRowHeight="14.4" x14ac:dyDescent="0.3"/>
  <cols>
    <col min="1" max="1" width="22.5546875" style="8" bestFit="1" customWidth="1"/>
    <col min="2" max="2" width="19.44140625" style="8" bestFit="1" customWidth="1"/>
    <col min="3" max="16384" width="8.88671875" style="8"/>
  </cols>
  <sheetData>
    <row r="3" spans="1:2" x14ac:dyDescent="0.3">
      <c r="A3" s="13" t="s">
        <v>2</v>
      </c>
      <c r="B3" s="8" t="s">
        <v>21</v>
      </c>
    </row>
    <row r="4" spans="1:2" x14ac:dyDescent="0.3">
      <c r="A4" s="8" t="s">
        <v>9</v>
      </c>
      <c r="B4" s="12">
        <v>699</v>
      </c>
    </row>
    <row r="5" spans="1:2" x14ac:dyDescent="0.3">
      <c r="A5" s="8" t="s">
        <v>15</v>
      </c>
      <c r="B5" s="12">
        <v>578.4</v>
      </c>
    </row>
    <row r="6" spans="1:2" x14ac:dyDescent="0.3">
      <c r="A6" s="8" t="s">
        <v>12</v>
      </c>
      <c r="B6" s="12">
        <v>459</v>
      </c>
    </row>
    <row r="7" spans="1:2" x14ac:dyDescent="0.3">
      <c r="A7" s="8" t="s">
        <v>18</v>
      </c>
      <c r="B7" s="12">
        <v>156</v>
      </c>
    </row>
    <row r="8" spans="1:2" x14ac:dyDescent="0.3">
      <c r="A8" s="8" t="s">
        <v>19</v>
      </c>
      <c r="B8" s="12">
        <v>1892.4</v>
      </c>
    </row>
    <row r="12" spans="1:2" x14ac:dyDescent="0.3">
      <c r="A12" s="7" t="s">
        <v>22</v>
      </c>
      <c r="B12" s="7" t="str">
        <f>_xlfn.XLOOKUP(MAX(B4:B7),B4:B7,A4:A7,,0)</f>
        <v>Delhi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FDA7-CE94-47C2-AEBB-00CE119DE993}">
  <sheetPr codeName="Sheet2"/>
  <dimension ref="A3:B11"/>
  <sheetViews>
    <sheetView workbookViewId="0">
      <selection activeCell="A4" sqref="A4"/>
    </sheetView>
  </sheetViews>
  <sheetFormatPr defaultRowHeight="14.4" x14ac:dyDescent="0.3"/>
  <cols>
    <col min="1" max="1" width="29.6640625" style="8" bestFit="1" customWidth="1"/>
    <col min="2" max="2" width="19.44140625" style="8" bestFit="1" customWidth="1"/>
    <col min="3" max="16384" width="8.88671875" style="8"/>
  </cols>
  <sheetData>
    <row r="3" spans="1:2" x14ac:dyDescent="0.3">
      <c r="A3" s="13" t="s">
        <v>29</v>
      </c>
      <c r="B3" s="8" t="s">
        <v>21</v>
      </c>
    </row>
    <row r="4" spans="1:2" x14ac:dyDescent="0.3">
      <c r="A4" s="8" t="s">
        <v>10</v>
      </c>
      <c r="B4" s="12">
        <v>360</v>
      </c>
    </row>
    <row r="5" spans="1:2" x14ac:dyDescent="0.3">
      <c r="A5" s="8" t="s">
        <v>13</v>
      </c>
      <c r="B5" s="12">
        <v>609</v>
      </c>
    </row>
    <row r="6" spans="1:2" x14ac:dyDescent="0.3">
      <c r="A6" s="8" t="s">
        <v>17</v>
      </c>
      <c r="B6" s="12">
        <v>923.4</v>
      </c>
    </row>
    <row r="7" spans="1:2" x14ac:dyDescent="0.3">
      <c r="A7" s="8" t="s">
        <v>19</v>
      </c>
      <c r="B7" s="12">
        <v>1892.4</v>
      </c>
    </row>
    <row r="11" spans="1:2" x14ac:dyDescent="0.3">
      <c r="A11" s="7" t="s">
        <v>23</v>
      </c>
      <c r="B11" s="7" t="str">
        <f>_xlfn.XLOOKUP(MAX(B4:B6),B4:B6,A4:A6,,0)</f>
        <v>SUV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7A3F-4C55-4842-965C-F53A2EB2D08C}">
  <sheetPr codeName="Sheet3"/>
  <dimension ref="A3:B11"/>
  <sheetViews>
    <sheetView zoomScaleNormal="100" workbookViewId="0">
      <selection activeCell="A4" sqref="A4"/>
    </sheetView>
  </sheetViews>
  <sheetFormatPr defaultRowHeight="14.4" x14ac:dyDescent="0.3"/>
  <cols>
    <col min="1" max="1" width="37.33203125" style="8" bestFit="1" customWidth="1"/>
    <col min="2" max="2" width="21.109375" style="8" bestFit="1" customWidth="1"/>
    <col min="3" max="16384" width="8.88671875" style="8"/>
  </cols>
  <sheetData>
    <row r="3" spans="1:2" x14ac:dyDescent="0.3">
      <c r="A3" s="13" t="s">
        <v>2</v>
      </c>
      <c r="B3" s="8" t="s">
        <v>24</v>
      </c>
    </row>
    <row r="4" spans="1:2" x14ac:dyDescent="0.3">
      <c r="A4" s="8" t="s">
        <v>9</v>
      </c>
      <c r="B4" s="10">
        <v>4.5666666666666673</v>
      </c>
    </row>
    <row r="5" spans="1:2" x14ac:dyDescent="0.3">
      <c r="A5" s="8" t="s">
        <v>15</v>
      </c>
      <c r="B5" s="10">
        <v>4.5500000000000007</v>
      </c>
    </row>
    <row r="6" spans="1:2" x14ac:dyDescent="0.3">
      <c r="A6" s="8" t="s">
        <v>12</v>
      </c>
      <c r="B6" s="10">
        <v>4.4333333333333336</v>
      </c>
    </row>
    <row r="7" spans="1:2" x14ac:dyDescent="0.3">
      <c r="A7" s="8" t="s">
        <v>18</v>
      </c>
      <c r="B7" s="10">
        <v>4.1999999999999993</v>
      </c>
    </row>
    <row r="8" spans="1:2" x14ac:dyDescent="0.3">
      <c r="A8" s="8" t="s">
        <v>19</v>
      </c>
      <c r="B8" s="10">
        <v>4.4500000000000011</v>
      </c>
    </row>
    <row r="11" spans="1:2" x14ac:dyDescent="0.3">
      <c r="A11" s="7" t="s">
        <v>25</v>
      </c>
      <c r="B11" s="7" t="str">
        <f>_xlfn.XLOOKUP(MIN(B4:B7),B4:B7,A4:A7,,0)</f>
        <v>Hyderabad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7283-E3AA-4D4C-8FF2-F8AB78DAEB2D}">
  <sheetPr codeName="Sheet4"/>
  <dimension ref="A3:B10"/>
  <sheetViews>
    <sheetView workbookViewId="0">
      <selection activeCell="A4" sqref="A4"/>
    </sheetView>
  </sheetViews>
  <sheetFormatPr defaultRowHeight="14.4" x14ac:dyDescent="0.3"/>
  <cols>
    <col min="1" max="1" width="25.109375" style="8" bestFit="1" customWidth="1"/>
    <col min="2" max="2" width="19.44140625" style="8" bestFit="1" customWidth="1"/>
    <col min="3" max="16384" width="8.88671875" style="8"/>
  </cols>
  <sheetData>
    <row r="3" spans="1:2" x14ac:dyDescent="0.3">
      <c r="A3" s="13" t="s">
        <v>28</v>
      </c>
      <c r="B3" s="8" t="s">
        <v>21</v>
      </c>
    </row>
    <row r="4" spans="1:2" x14ac:dyDescent="0.3">
      <c r="A4" s="8" t="s">
        <v>11</v>
      </c>
      <c r="B4" s="12">
        <v>1067.4000000000001</v>
      </c>
    </row>
    <row r="5" spans="1:2" x14ac:dyDescent="0.3">
      <c r="A5" s="8" t="s">
        <v>14</v>
      </c>
      <c r="B5" s="12">
        <v>609</v>
      </c>
    </row>
    <row r="6" spans="1:2" x14ac:dyDescent="0.3">
      <c r="A6" s="8" t="s">
        <v>16</v>
      </c>
      <c r="B6" s="12">
        <v>216</v>
      </c>
    </row>
    <row r="7" spans="1:2" x14ac:dyDescent="0.3">
      <c r="A7" s="8" t="s">
        <v>19</v>
      </c>
      <c r="B7" s="12">
        <v>1892.4</v>
      </c>
    </row>
    <row r="10" spans="1:2" x14ac:dyDescent="0.3">
      <c r="A10" s="7" t="s">
        <v>26</v>
      </c>
      <c r="B10" s="7" t="str">
        <f>_xlfn.XLOOKUP(MAX(B4:B6),B4:B6,A4:A6,,0)</f>
        <v>UPI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7870-45AE-44CF-AAFE-C0798DEBC5FF}">
  <sheetPr codeName="Sheet5"/>
  <dimension ref="A3:B12"/>
  <sheetViews>
    <sheetView workbookViewId="0">
      <selection activeCell="B19" sqref="B19"/>
    </sheetView>
  </sheetViews>
  <sheetFormatPr defaultRowHeight="14.4" x14ac:dyDescent="0.3"/>
  <cols>
    <col min="1" max="1" width="26.6640625" style="8" bestFit="1" customWidth="1"/>
    <col min="2" max="2" width="19.44140625" style="8" bestFit="1" customWidth="1"/>
    <col min="3" max="16384" width="8.88671875" style="8"/>
  </cols>
  <sheetData>
    <row r="3" spans="1:2" x14ac:dyDescent="0.3">
      <c r="A3" s="13" t="s">
        <v>1</v>
      </c>
      <c r="B3" s="8" t="s">
        <v>21</v>
      </c>
    </row>
    <row r="4" spans="1:2" x14ac:dyDescent="0.3">
      <c r="A4" s="9">
        <v>46113</v>
      </c>
      <c r="B4" s="12">
        <v>312</v>
      </c>
    </row>
    <row r="5" spans="1:2" x14ac:dyDescent="0.3">
      <c r="A5" s="9">
        <v>46114</v>
      </c>
      <c r="B5" s="12">
        <v>465</v>
      </c>
    </row>
    <row r="6" spans="1:2" x14ac:dyDescent="0.3">
      <c r="A6" s="9">
        <v>46115</v>
      </c>
      <c r="B6" s="12">
        <v>279</v>
      </c>
    </row>
    <row r="7" spans="1:2" x14ac:dyDescent="0.3">
      <c r="A7" s="9">
        <v>46116</v>
      </c>
      <c r="B7" s="12">
        <v>590.4</v>
      </c>
    </row>
    <row r="8" spans="1:2" x14ac:dyDescent="0.3">
      <c r="A8" s="9">
        <v>46117</v>
      </c>
      <c r="B8" s="12">
        <v>246</v>
      </c>
    </row>
    <row r="9" spans="1:2" x14ac:dyDescent="0.3">
      <c r="A9" s="9" t="s">
        <v>19</v>
      </c>
      <c r="B9" s="12">
        <v>1892.4</v>
      </c>
    </row>
    <row r="12" spans="1:2" x14ac:dyDescent="0.3">
      <c r="A12" s="7" t="s">
        <v>27</v>
      </c>
      <c r="B12" s="14">
        <f>_xlfn.XLOOKUP(MIN(B4:B8),B4:B8,A4:A8,,0)</f>
        <v>46117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ACC9-61A9-4F28-9C22-099987D16059}">
  <sheetPr codeName="Sheet6"/>
  <dimension ref="A1:J11"/>
  <sheetViews>
    <sheetView tabSelected="1" workbookViewId="0">
      <selection activeCell="F24" sqref="F24"/>
    </sheetView>
  </sheetViews>
  <sheetFormatPr defaultRowHeight="14.4" x14ac:dyDescent="0.3"/>
  <cols>
    <col min="1" max="1" width="6" style="8" bestFit="1" customWidth="1"/>
    <col min="2" max="2" width="10.33203125" style="9" bestFit="1" customWidth="1"/>
    <col min="3" max="3" width="9.77734375" style="8" bestFit="1" customWidth="1"/>
    <col min="4" max="4" width="11.21875" style="8" bestFit="1" customWidth="1"/>
    <col min="5" max="5" width="11.77734375" style="8" bestFit="1" customWidth="1"/>
    <col min="6" max="6" width="10.109375" style="8" bestFit="1" customWidth="1"/>
    <col min="7" max="7" width="14" style="8" bestFit="1" customWidth="1"/>
    <col min="8" max="8" width="11.33203125" style="10" bestFit="1" customWidth="1"/>
    <col min="9" max="9" width="13.6640625" style="8" bestFit="1" customWidth="1"/>
    <col min="10" max="10" width="12.77734375" style="12" bestFit="1" customWidth="1"/>
    <col min="11" max="16384" width="8.88671875" style="8"/>
  </cols>
  <sheetData>
    <row r="1" spans="1:10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1" t="s">
        <v>20</v>
      </c>
    </row>
    <row r="2" spans="1:10" x14ac:dyDescent="0.3">
      <c r="A2" s="2">
        <v>8001</v>
      </c>
      <c r="B2" s="3">
        <v>46113</v>
      </c>
      <c r="C2" s="2" t="s">
        <v>9</v>
      </c>
      <c r="D2" s="2" t="s">
        <v>10</v>
      </c>
      <c r="E2" s="2">
        <v>8</v>
      </c>
      <c r="F2" s="2">
        <v>12</v>
      </c>
      <c r="G2" s="2">
        <v>1</v>
      </c>
      <c r="H2" s="6">
        <v>4.5</v>
      </c>
      <c r="I2" s="2" t="s">
        <v>11</v>
      </c>
      <c r="J2" s="12">
        <f>E2*F2*G2</f>
        <v>96</v>
      </c>
    </row>
    <row r="3" spans="1:10" x14ac:dyDescent="0.3">
      <c r="A3" s="2">
        <v>8002</v>
      </c>
      <c r="B3" s="3">
        <v>46113</v>
      </c>
      <c r="C3" s="2" t="s">
        <v>12</v>
      </c>
      <c r="D3" s="2" t="s">
        <v>13</v>
      </c>
      <c r="E3" s="2">
        <v>12</v>
      </c>
      <c r="F3" s="2">
        <v>15</v>
      </c>
      <c r="G3" s="2">
        <v>1.2</v>
      </c>
      <c r="H3" s="6">
        <v>4.7</v>
      </c>
      <c r="I3" s="2" t="s">
        <v>14</v>
      </c>
      <c r="J3" s="12">
        <f t="shared" ref="J3:J11" si="0">E3*F3*G3</f>
        <v>216</v>
      </c>
    </row>
    <row r="4" spans="1:10" x14ac:dyDescent="0.3">
      <c r="A4" s="2">
        <v>8003</v>
      </c>
      <c r="B4" s="3">
        <v>46114</v>
      </c>
      <c r="C4" s="2" t="s">
        <v>15</v>
      </c>
      <c r="D4" s="2" t="s">
        <v>10</v>
      </c>
      <c r="E4" s="2">
        <v>5</v>
      </c>
      <c r="F4" s="2">
        <v>12</v>
      </c>
      <c r="G4" s="2">
        <v>1</v>
      </c>
      <c r="H4" s="6">
        <v>4.2</v>
      </c>
      <c r="I4" s="2" t="s">
        <v>16</v>
      </c>
      <c r="J4" s="12">
        <f t="shared" si="0"/>
        <v>60</v>
      </c>
    </row>
    <row r="5" spans="1:10" x14ac:dyDescent="0.3">
      <c r="A5" s="2">
        <v>8004</v>
      </c>
      <c r="B5" s="3">
        <v>46114</v>
      </c>
      <c r="C5" s="2" t="s">
        <v>9</v>
      </c>
      <c r="D5" s="2" t="s">
        <v>17</v>
      </c>
      <c r="E5" s="2">
        <v>15</v>
      </c>
      <c r="F5" s="2">
        <v>18</v>
      </c>
      <c r="G5" s="2">
        <v>1.5</v>
      </c>
      <c r="H5" s="6">
        <v>4.8</v>
      </c>
      <c r="I5" s="2" t="s">
        <v>11</v>
      </c>
      <c r="J5" s="12">
        <f t="shared" si="0"/>
        <v>405</v>
      </c>
    </row>
    <row r="6" spans="1:10" x14ac:dyDescent="0.3">
      <c r="A6" s="2">
        <v>8005</v>
      </c>
      <c r="B6" s="3">
        <v>46115</v>
      </c>
      <c r="C6" s="2" t="s">
        <v>18</v>
      </c>
      <c r="D6" s="2" t="s">
        <v>10</v>
      </c>
      <c r="E6" s="2">
        <v>7</v>
      </c>
      <c r="F6" s="2">
        <v>12</v>
      </c>
      <c r="G6" s="2">
        <v>1</v>
      </c>
      <c r="H6" s="6">
        <v>4.0999999999999996</v>
      </c>
      <c r="I6" s="2" t="s">
        <v>16</v>
      </c>
      <c r="J6" s="12">
        <f t="shared" si="0"/>
        <v>84</v>
      </c>
    </row>
    <row r="7" spans="1:10" x14ac:dyDescent="0.3">
      <c r="A7" s="2">
        <v>8006</v>
      </c>
      <c r="B7" s="3">
        <v>46115</v>
      </c>
      <c r="C7" s="2" t="s">
        <v>12</v>
      </c>
      <c r="D7" s="2" t="s">
        <v>13</v>
      </c>
      <c r="E7" s="2">
        <v>10</v>
      </c>
      <c r="F7" s="2">
        <v>15</v>
      </c>
      <c r="G7" s="2">
        <v>1.3</v>
      </c>
      <c r="H7" s="6">
        <v>4.5999999999999996</v>
      </c>
      <c r="I7" s="2" t="s">
        <v>14</v>
      </c>
      <c r="J7" s="12">
        <f t="shared" si="0"/>
        <v>195</v>
      </c>
    </row>
    <row r="8" spans="1:10" x14ac:dyDescent="0.3">
      <c r="A8" s="2">
        <v>8007</v>
      </c>
      <c r="B8" s="3">
        <v>46116</v>
      </c>
      <c r="C8" s="2" t="s">
        <v>15</v>
      </c>
      <c r="D8" s="2" t="s">
        <v>17</v>
      </c>
      <c r="E8" s="2">
        <v>18</v>
      </c>
      <c r="F8" s="2">
        <v>18</v>
      </c>
      <c r="G8" s="2">
        <v>1.6</v>
      </c>
      <c r="H8" s="6">
        <v>4.9000000000000004</v>
      </c>
      <c r="I8" s="2" t="s">
        <v>11</v>
      </c>
      <c r="J8" s="12">
        <f t="shared" si="0"/>
        <v>518.4</v>
      </c>
    </row>
    <row r="9" spans="1:10" x14ac:dyDescent="0.3">
      <c r="A9" s="2">
        <v>8008</v>
      </c>
      <c r="B9" s="3">
        <v>46116</v>
      </c>
      <c r="C9" s="2" t="s">
        <v>18</v>
      </c>
      <c r="D9" s="2" t="s">
        <v>10</v>
      </c>
      <c r="E9" s="2">
        <v>6</v>
      </c>
      <c r="F9" s="2">
        <v>12</v>
      </c>
      <c r="G9" s="2">
        <v>1</v>
      </c>
      <c r="H9" s="6">
        <v>4.3</v>
      </c>
      <c r="I9" s="2" t="s">
        <v>16</v>
      </c>
      <c r="J9" s="12">
        <f t="shared" si="0"/>
        <v>72</v>
      </c>
    </row>
    <row r="10" spans="1:10" x14ac:dyDescent="0.3">
      <c r="A10" s="2">
        <v>8009</v>
      </c>
      <c r="B10" s="3">
        <v>46117</v>
      </c>
      <c r="C10" s="2" t="s">
        <v>9</v>
      </c>
      <c r="D10" s="2" t="s">
        <v>13</v>
      </c>
      <c r="E10" s="2">
        <v>11</v>
      </c>
      <c r="F10" s="2">
        <v>15</v>
      </c>
      <c r="G10" s="2">
        <v>1.2</v>
      </c>
      <c r="H10" s="6">
        <v>4.4000000000000004</v>
      </c>
      <c r="I10" s="2" t="s">
        <v>14</v>
      </c>
      <c r="J10" s="12">
        <f t="shared" si="0"/>
        <v>198</v>
      </c>
    </row>
    <row r="11" spans="1:10" x14ac:dyDescent="0.3">
      <c r="A11" s="2">
        <v>8010</v>
      </c>
      <c r="B11" s="3">
        <v>46117</v>
      </c>
      <c r="C11" s="2" t="s">
        <v>12</v>
      </c>
      <c r="D11" s="2" t="s">
        <v>10</v>
      </c>
      <c r="E11" s="2">
        <v>4</v>
      </c>
      <c r="F11" s="2">
        <v>12</v>
      </c>
      <c r="G11" s="2">
        <v>1</v>
      </c>
      <c r="H11" s="6">
        <v>4</v>
      </c>
      <c r="I11" s="2" t="s">
        <v>11</v>
      </c>
      <c r="J11" s="12">
        <f t="shared" si="0"/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by City</vt:lpstr>
      <vt:lpstr>Revenue by VehicleType</vt:lpstr>
      <vt:lpstr>Driver Rating by City</vt:lpstr>
      <vt:lpstr>Revenue by PaymentMode</vt:lpstr>
      <vt:lpstr>Revenue by TripDate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2026-04-09T09:16:02Z</dcterms:created>
  <dcterms:modified xsi:type="dcterms:W3CDTF">2026-04-09T10:45:27Z</dcterms:modified>
</cp:coreProperties>
</file>