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bd91e607248c2/TASKS/TASK 12/"/>
    </mc:Choice>
  </mc:AlternateContent>
  <xr:revisionPtr revIDLastSave="2" documentId="8_{06C06BE9-763A-456D-83DB-4FB7C7C10758}" xr6:coauthVersionLast="47" xr6:coauthVersionMax="47" xr10:uidLastSave="{B5BE6E34-D3F3-4524-8F99-C115FF0582D5}"/>
  <bookViews>
    <workbookView xWindow="-108" yWindow="-108" windowWidth="23256" windowHeight="12456" firstSheet="3" activeTab="5" xr2:uid="{DDEB08F7-2D6B-4B6D-BCDC-86B3295B394C}"/>
  </bookViews>
  <sheets>
    <sheet name="Revenue by PlanType" sheetId="2" r:id="rId1"/>
    <sheet name="Revenue by Country" sheetId="3" r:id="rId2"/>
    <sheet name="Upgrade rate by PlanType" sheetId="5" r:id="rId3"/>
    <sheet name="Churnrate by PlanType" sheetId="4" r:id="rId4"/>
    <sheet name="Revenue by Device" sheetId="6" r:id="rId5"/>
    <sheet name="Dataset" sheetId="1" r:id="rId6"/>
  </sheet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6" l="1"/>
  <c r="B11" i="6"/>
  <c r="B14" i="5"/>
  <c r="B10" i="5" a="1"/>
  <c r="B10" i="5" s="1"/>
  <c r="B15" i="4"/>
  <c r="B11" i="4" a="1"/>
  <c r="B11" i="4" s="1"/>
  <c r="B14" i="3"/>
  <c r="B10" i="3"/>
  <c r="B14" i="2"/>
  <c r="B10" i="2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<sst xmlns="http://schemas.openxmlformats.org/spreadsheetml/2006/main" count="101" uniqueCount="36">
  <si>
    <t>UserID</t>
  </si>
  <si>
    <t>PlanType</t>
  </si>
  <si>
    <t>MonthlyFee</t>
  </si>
  <si>
    <t>MonthsActive</t>
  </si>
  <si>
    <t>Upgraded</t>
  </si>
  <si>
    <t>Country</t>
  </si>
  <si>
    <t>Device</t>
  </si>
  <si>
    <t>Churned</t>
  </si>
  <si>
    <t>Basic</t>
  </si>
  <si>
    <t>No</t>
  </si>
  <si>
    <t>India</t>
  </si>
  <si>
    <t>Mobile</t>
  </si>
  <si>
    <t>Standard</t>
  </si>
  <si>
    <t>Yes</t>
  </si>
  <si>
    <t>USA</t>
  </si>
  <si>
    <t>Desktop</t>
  </si>
  <si>
    <t>Premium</t>
  </si>
  <si>
    <t>TV</t>
  </si>
  <si>
    <t>UK</t>
  </si>
  <si>
    <t>Revenue</t>
  </si>
  <si>
    <t>UpgradeFlag</t>
  </si>
  <si>
    <t>ChurnFlag</t>
  </si>
  <si>
    <t>Grand Total</t>
  </si>
  <si>
    <t>Sum of Revenue</t>
  </si>
  <si>
    <t>Which is the best revenue generating plan</t>
  </si>
  <si>
    <t>What's the highest revenue generated</t>
  </si>
  <si>
    <t>Sum of UpgradeFlag</t>
  </si>
  <si>
    <t>Which country is generating lowest revenue</t>
  </si>
  <si>
    <t>What's the lowest revenue generated</t>
  </si>
  <si>
    <t>Sum of ChurnFlag</t>
  </si>
  <si>
    <t>Which plan has lowest churnrate</t>
  </si>
  <si>
    <t>What's the lowest churn rate</t>
  </si>
  <si>
    <t>Which plans have more upgrade rate</t>
  </si>
  <si>
    <t>What's the highest upgrade rate</t>
  </si>
  <si>
    <t>Which device generates the highest revenue</t>
  </si>
  <si>
    <t>What's the highest revenue generated by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</si>
</sst>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 [$₹-439]* #,##0.00_ ;_ [$₹-439]* \-#,##0.00_ ;_ [$₹-439]* &quot;-&quot;??_ ;_ @_ "/>
    <numFmt numFmtId="171" formatCode="_-[$₹-44A]* #,##0.00_-;\-[$₹-44A]* #,##0.00_-;_-[$₹-44A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/>
    </xf>
    <xf numFmtId="17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7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70" fontId="1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1" fontId="1" fillId="0" borderId="0" xfId="0" applyNumberFormat="1" applyFont="1" applyAlignment="1">
      <alignment horizontal="center"/>
    </xf>
  </cellXfs>
  <cellStyles count="1">
    <cellStyle name="Normal" xfId="0" builtinId="0"/>
  </cellStyles>
  <dxfs count="41">
    <dxf>
      <numFmt numFmtId="171" formatCode="_-[$₹-44A]* #,##0.00_-;\-[$₹-44A]* #,##0.00_-;_-[$₹-44A]* &quot;-&quot;??_-;_-@_-"/>
    </dxf>
    <dxf>
      <numFmt numFmtId="171" formatCode="_-[$₹-44A]* #,##0.00_-;\-[$₹-44A]* #,##0.00_-;_-[$₹-44A]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1" formatCode="_-[$₹-44A]* #,##0.00_-;\-[$₹-44A]* #,##0.00_-;_-[$₹-44A]* &quot;-&quot;??_-;_-@_-"/>
    </dxf>
    <dxf>
      <numFmt numFmtId="171" formatCode="_-[$₹-44A]* #,##0.00_-;\-[$₹-44A]* #,##0.00_-;_-[$₹-44A]* &quot;-&quot;??_-;_-@_-"/>
    </dxf>
    <dxf>
      <alignment horizontal="center"/>
    </dxf>
    <dxf>
      <alignment horizontal="center"/>
    </dxf>
    <dxf>
      <alignment horizontal="center"/>
    </dxf>
    <dxf>
      <numFmt numFmtId="170" formatCode="_ [$₹-439]* #,##0.00_ ;_ [$₹-439]* \-#,##0.00_ ;_ [$₹-439]* &quot;-&quot;??_ ;_ @_ "/>
    </dxf>
    <dxf>
      <numFmt numFmtId="170" formatCode="_ [$₹-439]* #,##0.00_ ;_ [$₹-439]* \-#,##0.00_ ;_ [$₹-439]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_ [$₹-4009]\ * #,##0.00_ ;_ [$₹-4009]\ * \-#,##0.00_ ;_ [$₹-4009]\ * &quot;-&quot;??_ ;_ @_ "/>
    </dxf>
    <dxf>
      <numFmt numFmtId="169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12.xlsx]Revenue by PlanType!PivotTable1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PlanType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'Revenue by PlanType'!$B$3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C5-4014-8B64-8777D72D52F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C5-4014-8B64-8777D72D52F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C5-4014-8B64-8777D72D52F8}"/>
              </c:ext>
            </c:extLst>
          </c:dPt>
          <c:cat>
            <c:strRef>
              <c:f>'Revenue by PlanType'!$A$4:$A$7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'Revenue by PlanType'!$B$4:$B$7</c:f>
              <c:numCache>
                <c:formatCode>_ [$₹-439]* #,##0.00_ ;_ [$₹-439]* \-#,##0.00_ ;_ [$₹-439]* "-"??_ ;_ @_ </c:formatCode>
                <c:ptCount val="3"/>
                <c:pt idx="0">
                  <c:v>3000</c:v>
                </c:pt>
                <c:pt idx="1">
                  <c:v>12000</c:v>
                </c:pt>
                <c:pt idx="2">
                  <c:v>12400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5-4014-8B64-8777D72D5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8687039"/>
        <c:axId val="1688686559"/>
      </c:barChart>
      <c:catAx>
        <c:axId val="168868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686559"/>
        <c:crosses val="autoZero"/>
        <c:auto val="1"/>
        <c:lblAlgn val="ctr"/>
        <c:lblOffset val="100"/>
        <c:noMultiLvlLbl val="0"/>
      </c:catAx>
      <c:valAx>
        <c:axId val="168868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.00_ ;_ [$₹-439]* \-#,##0.0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68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12.xlsx]Revenue by Country!PivotTable2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'Revenue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10-4EAB-B20B-D367A6CDD2A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D10-4EAB-B20B-D367A6CDD2A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10-4EAB-B20B-D367A6CDD2AB}"/>
              </c:ext>
            </c:extLst>
          </c:dPt>
          <c:cat>
            <c:strRef>
              <c:f>'Revenue by Country'!$A$4:$A$7</c:f>
              <c:strCache>
                <c:ptCount val="3"/>
                <c:pt idx="0">
                  <c:v>India</c:v>
                </c:pt>
                <c:pt idx="1">
                  <c:v>USA</c:v>
                </c:pt>
                <c:pt idx="2">
                  <c:v>UK</c:v>
                </c:pt>
              </c:strCache>
            </c:strRef>
          </c:cat>
          <c:val>
            <c:numRef>
              <c:f>'Revenue by Country'!$B$4:$B$7</c:f>
              <c:numCache>
                <c:formatCode>_-[$₹-44A]* #,##0.00_-;\-[$₹-44A]* #,##0.00_-;_-[$₹-44A]* "-"??_-;_-@_-</c:formatCode>
                <c:ptCount val="3"/>
                <c:pt idx="0">
                  <c:v>15000</c:v>
                </c:pt>
                <c:pt idx="1">
                  <c:v>8200</c:v>
                </c:pt>
                <c:pt idx="2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0-4EAB-B20B-D367A6CDD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787119"/>
        <c:axId val="1703788559"/>
      </c:barChart>
      <c:catAx>
        <c:axId val="170378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88559"/>
        <c:crosses val="autoZero"/>
        <c:auto val="1"/>
        <c:lblAlgn val="ctr"/>
        <c:lblOffset val="100"/>
        <c:noMultiLvlLbl val="0"/>
      </c:catAx>
      <c:valAx>
        <c:axId val="17037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₹-44A]* #,##0.00_-;\-[$₹-44A]* #,##0.00_-;_-[$₹-44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8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12.xlsx]Upgrade rate by PlanType!PivotTable4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Upgrade rate by PlanType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'Upgrade rate by PlanType'!$B$3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0B7-4693-AE98-2E8668D85343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7-4693-AE98-2E8668D85343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0B7-4693-AE98-2E8668D85343}"/>
              </c:ext>
            </c:extLst>
          </c:dPt>
          <c:cat>
            <c:strRef>
              <c:f>'Upgrade rate by PlanType'!$A$4:$A$7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'Upgrade rate by PlanType'!$B$4:$B$7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7-4693-AE98-2E8668D85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12.xlsx]Churnrate by PlanType!PivotTable3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Churnrate by PlanType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'Churnrate by PlanType'!$B$3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41F-4602-A838-AC26B906B361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1F-4602-A838-AC26B906B361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41F-4602-A838-AC26B906B361}"/>
              </c:ext>
            </c:extLst>
          </c:dPt>
          <c:cat>
            <c:strRef>
              <c:f>'Churnrate by PlanType'!$A$4:$A$7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'Churnrate by PlanType'!$B$4:$B$7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F-4602-A838-AC26B906B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12.xlsx]Revenue by Device!PivotTable5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627952755905514E-2"/>
          <c:y val="0.14292870905587668"/>
          <c:w val="0.91237204724409449"/>
          <c:h val="0.78694309165111587"/>
        </c:manualLayout>
      </c:layout>
      <c:bar3DChart>
        <c:barDir val="col"/>
        <c:grouping val="stacked"/>
        <c:varyColors val="1"/>
        <c:ser>
          <c:idx val="0"/>
          <c:order val="0"/>
          <c:tx>
            <c:strRef>
              <c:f>'Revenue by Device'!$B$3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50AD-4754-905B-9437C8FA29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0AD-4754-905B-9437C8FA29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50AD-4754-905B-9437C8FA29DC}"/>
              </c:ext>
            </c:extLst>
          </c:dPt>
          <c:cat>
            <c:strRef>
              <c:f>'Revenue by Device'!$A$4:$A$7</c:f>
              <c:strCache>
                <c:ptCount val="3"/>
                <c:pt idx="0">
                  <c:v>Desktop</c:v>
                </c:pt>
                <c:pt idx="1">
                  <c:v>TV</c:v>
                </c:pt>
                <c:pt idx="2">
                  <c:v>Mobile</c:v>
                </c:pt>
              </c:strCache>
            </c:strRef>
          </c:cat>
          <c:val>
            <c:numRef>
              <c:f>'Revenue by Device'!$B$4:$B$7</c:f>
              <c:numCache>
                <c:formatCode>_-[$₹-44A]* #,##0.00_-;\-[$₹-44A]* #,##0.00_-;_-[$₹-44A]* "-"??_-;_-@_-</c:formatCode>
                <c:ptCount val="3"/>
                <c:pt idx="0">
                  <c:v>12400</c:v>
                </c:pt>
                <c:pt idx="1">
                  <c:v>12000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D-4754-905B-9437C8FA2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cylinder"/>
        <c:axId val="1833323247"/>
        <c:axId val="1833323727"/>
        <c:axId val="0"/>
      </c:bar3DChart>
      <c:catAx>
        <c:axId val="183332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23727"/>
        <c:crosses val="autoZero"/>
        <c:auto val="1"/>
        <c:lblAlgn val="ctr"/>
        <c:lblOffset val="100"/>
        <c:noMultiLvlLbl val="0"/>
      </c:catAx>
      <c:valAx>
        <c:axId val="183332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₹-44A]* #,##0.00_-;\-[$₹-44A]* #,##0.00_-;_-[$₹-44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2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3810</xdr:rowOff>
    </xdr:from>
    <xdr:to>
      <xdr:col>12</xdr:col>
      <xdr:colOff>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5174E-B3C4-13B0-9149-A88443114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156210</xdr:rowOff>
    </xdr:from>
    <xdr:to>
      <xdr:col>11</xdr:col>
      <xdr:colOff>320040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E9CA72-4DDC-1C12-C7C2-ACB1BE153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1</xdr:row>
      <xdr:rowOff>148590</xdr:rowOff>
    </xdr:from>
    <xdr:to>
      <xdr:col>11</xdr:col>
      <xdr:colOff>182880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E80FE-566D-8102-BD8E-BC2B683D7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11430</xdr:rowOff>
    </xdr:from>
    <xdr:to>
      <xdr:col>11</xdr:col>
      <xdr:colOff>297180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576EC-F80B-6053-2921-44C172404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171450</xdr:rowOff>
    </xdr:from>
    <xdr:to>
      <xdr:col>11</xdr:col>
      <xdr:colOff>601980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2F249-DBF8-D614-292F-EC4DC480A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8.453308796299" createdVersion="8" refreshedVersion="8" minRefreshableVersion="3" recordCount="10" xr:uid="{BC134DAB-9B51-4C6B-BE7F-4342D00AFBAB}">
  <cacheSource type="worksheet">
    <worksheetSource ref="A1:K11" sheet="Dataset"/>
  </cacheSource>
  <cacheFields count="11">
    <cacheField name="UserID" numFmtId="0">
      <sharedItems containsSemiMixedTypes="0" containsString="0" containsNumber="1" containsInteger="1" minValue="90001" maxValue="90010"/>
    </cacheField>
    <cacheField name="PlanType" numFmtId="0">
      <sharedItems count="3">
        <s v="Basic"/>
        <s v="Standard"/>
        <s v="Premium"/>
      </sharedItems>
    </cacheField>
    <cacheField name="MonthlyFee" numFmtId="0">
      <sharedItems containsSemiMixedTypes="0" containsString="0" containsNumber="1" containsInteger="1" minValue="200" maxValue="600"/>
    </cacheField>
    <cacheField name="MonthsActive" numFmtId="0">
      <sharedItems containsSemiMixedTypes="0" containsString="0" containsNumber="1" containsInteger="1" minValue="2" maxValue="12"/>
    </cacheField>
    <cacheField name="Upgraded" numFmtId="0">
      <sharedItems/>
    </cacheField>
    <cacheField name="Country" numFmtId="0">
      <sharedItems count="3">
        <s v="India"/>
        <s v="USA"/>
        <s v="UK"/>
      </sharedItems>
    </cacheField>
    <cacheField name="Device" numFmtId="0">
      <sharedItems count="3">
        <s v="Mobile"/>
        <s v="Desktop"/>
        <s v="TV"/>
      </sharedItems>
    </cacheField>
    <cacheField name="Churned" numFmtId="0">
      <sharedItems/>
    </cacheField>
    <cacheField name="Revenue" numFmtId="0">
      <sharedItems containsSemiMixedTypes="0" containsString="0" containsNumber="1" containsInteger="1" minValue="400" maxValue="4800"/>
    </cacheField>
    <cacheField name="UpgradeFlag" numFmtId="0">
      <sharedItems containsSemiMixedTypes="0" containsString="0" containsNumber="1" containsInteger="1" minValue="0" maxValue="1"/>
    </cacheField>
    <cacheField name="Chur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90001"/>
    <x v="0"/>
    <n v="200"/>
    <n v="6"/>
    <s v="No"/>
    <x v="0"/>
    <x v="0"/>
    <s v="No"/>
    <n v="1200"/>
    <n v="0"/>
    <n v="0"/>
  </r>
  <r>
    <n v="90002"/>
    <x v="1"/>
    <n v="400"/>
    <n v="12"/>
    <s v="Yes"/>
    <x v="1"/>
    <x v="1"/>
    <s v="No"/>
    <n v="4800"/>
    <n v="1"/>
    <n v="0"/>
  </r>
  <r>
    <n v="90003"/>
    <x v="2"/>
    <n v="600"/>
    <n v="8"/>
    <s v="No"/>
    <x v="0"/>
    <x v="2"/>
    <s v="No"/>
    <n v="4800"/>
    <n v="0"/>
    <n v="0"/>
  </r>
  <r>
    <n v="90004"/>
    <x v="0"/>
    <n v="200"/>
    <n v="3"/>
    <s v="Yes"/>
    <x v="2"/>
    <x v="0"/>
    <s v="Yes"/>
    <n v="600"/>
    <n v="1"/>
    <n v="1"/>
  </r>
  <r>
    <n v="90005"/>
    <x v="1"/>
    <n v="400"/>
    <n v="10"/>
    <s v="No"/>
    <x v="0"/>
    <x v="1"/>
    <s v="No"/>
    <n v="4000"/>
    <n v="0"/>
    <n v="0"/>
  </r>
  <r>
    <n v="90006"/>
    <x v="2"/>
    <n v="600"/>
    <n v="5"/>
    <s v="Yes"/>
    <x v="1"/>
    <x v="2"/>
    <s v="No"/>
    <n v="3000"/>
    <n v="1"/>
    <n v="0"/>
  </r>
  <r>
    <n v="90007"/>
    <x v="0"/>
    <n v="200"/>
    <n v="4"/>
    <s v="No"/>
    <x v="0"/>
    <x v="0"/>
    <s v="Yes"/>
    <n v="800"/>
    <n v="0"/>
    <n v="1"/>
  </r>
  <r>
    <n v="90008"/>
    <x v="1"/>
    <n v="400"/>
    <n v="9"/>
    <s v="Yes"/>
    <x v="2"/>
    <x v="1"/>
    <s v="No"/>
    <n v="3600"/>
    <n v="1"/>
    <n v="0"/>
  </r>
  <r>
    <n v="90009"/>
    <x v="2"/>
    <n v="600"/>
    <n v="7"/>
    <s v="No"/>
    <x v="0"/>
    <x v="2"/>
    <s v="No"/>
    <n v="4200"/>
    <n v="0"/>
    <n v="0"/>
  </r>
  <r>
    <n v="90010"/>
    <x v="0"/>
    <n v="200"/>
    <n v="2"/>
    <s v="Yes"/>
    <x v="1"/>
    <x v="0"/>
    <s v="Yes"/>
    <n v="40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47A75-35B9-4E87-8D4D-99529A6188E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lanType">
  <location ref="A3:B7" firstHeaderRow="1" firstDataRow="1" firstDataCol="1"/>
  <pivotFields count="1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 numFmtId="170"/>
  </dataFields>
  <formats count="10"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16543-F325-429C-8504-BB4652E4BA2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ntry">
  <location ref="A3:B7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venue" fld="8" baseField="0" baseItem="0" numFmtId="171"/>
  </dataFields>
  <formats count="11"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5" type="button" dataOnly="0" labelOnly="1" outline="0" axis="axisRow" fieldPosition="0"/>
    </format>
    <format dxfId="4">
      <pivotArea dataOnly="0" labelOnly="1" fieldPosition="0">
        <references count="1">
          <reference field="5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48B2-C699-429E-AD3E-1AE0F27FE33C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lanType">
  <location ref="A3:B7" firstHeaderRow="1" firstDataRow="1" firstDataCol="1"/>
  <pivotFields count="11"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UpgradeFlag" fld="9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0C489-D1D8-4F7B-8567-21528E995C8C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lanType">
  <location ref="A3:B7" firstHeaderRow="1" firstDataRow="1" firstDataCol="1"/>
  <pivotFields count="1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Flag" fld="10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72198-F9E0-480A-854C-5AB03D35B8D5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vice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venue" fld="8" baseField="0" baseItem="0" numFmtId="171"/>
  </dataFields>
  <formats count="8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6" type="button" dataOnly="0" labelOnly="1" outline="0" axis="axisRow" fieldPosition="0"/>
    </format>
    <format dxfId="16">
      <pivotArea dataOnly="0" labelOnly="1" fieldPosition="0">
        <references count="1">
          <reference field="6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07C3-5FC8-44BD-9A91-6DF663045F24}">
  <sheetPr codeName="Sheet2"/>
  <dimension ref="A3:B14"/>
  <sheetViews>
    <sheetView workbookViewId="0">
      <selection activeCell="K24" sqref="K24"/>
    </sheetView>
  </sheetViews>
  <sheetFormatPr defaultRowHeight="14.4" x14ac:dyDescent="0.3"/>
  <cols>
    <col min="1" max="1" width="36.77734375" style="2" bestFit="1" customWidth="1"/>
    <col min="2" max="2" width="15.77734375" style="5" bestFit="1" customWidth="1"/>
    <col min="3" max="16384" width="8.88671875" style="2"/>
  </cols>
  <sheetData>
    <row r="3" spans="1:2" x14ac:dyDescent="0.3">
      <c r="A3" s="4" t="s">
        <v>1</v>
      </c>
      <c r="B3" s="5" t="s">
        <v>23</v>
      </c>
    </row>
    <row r="4" spans="1:2" x14ac:dyDescent="0.3">
      <c r="A4" s="2" t="s">
        <v>8</v>
      </c>
      <c r="B4" s="5">
        <v>3000</v>
      </c>
    </row>
    <row r="5" spans="1:2" x14ac:dyDescent="0.3">
      <c r="A5" s="2" t="s">
        <v>16</v>
      </c>
      <c r="B5" s="5">
        <v>12000</v>
      </c>
    </row>
    <row r="6" spans="1:2" x14ac:dyDescent="0.3">
      <c r="A6" s="2" t="s">
        <v>12</v>
      </c>
      <c r="B6" s="5">
        <v>12400</v>
      </c>
    </row>
    <row r="7" spans="1:2" x14ac:dyDescent="0.3">
      <c r="A7" s="2" t="s">
        <v>22</v>
      </c>
      <c r="B7" s="5">
        <v>27400</v>
      </c>
    </row>
    <row r="10" spans="1:2" x14ac:dyDescent="0.3">
      <c r="A10" s="6" t="s">
        <v>24</v>
      </c>
      <c r="B10" s="7" t="str">
        <f>_xlfn.XLOOKUP(MAX(B4:B6),B4:B6,A4:A6,)</f>
        <v>Standard</v>
      </c>
    </row>
    <row r="14" spans="1:2" x14ac:dyDescent="0.3">
      <c r="A14" s="6" t="s">
        <v>25</v>
      </c>
      <c r="B14" s="7">
        <f>VLOOKUP(A6,A4:B6,2,FALSE)</f>
        <v>12400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7CB4-FDD3-476E-83E2-81DBD7DF095D}">
  <sheetPr codeName="Sheet3"/>
  <dimension ref="A3:B14"/>
  <sheetViews>
    <sheetView workbookViewId="0">
      <selection activeCell="C12" sqref="C12"/>
    </sheetView>
  </sheetViews>
  <sheetFormatPr defaultRowHeight="14.4" x14ac:dyDescent="0.3"/>
  <cols>
    <col min="1" max="1" width="38.44140625" style="2" bestFit="1" customWidth="1"/>
    <col min="2" max="2" width="16.21875" style="14" bestFit="1" customWidth="1"/>
    <col min="3" max="16384" width="8.88671875" style="2"/>
  </cols>
  <sheetData>
    <row r="3" spans="1:2" s="2" customFormat="1" x14ac:dyDescent="0.3">
      <c r="A3" s="4" t="s">
        <v>5</v>
      </c>
      <c r="B3" s="14" t="s">
        <v>23</v>
      </c>
    </row>
    <row r="4" spans="1:2" s="2" customFormat="1" x14ac:dyDescent="0.3">
      <c r="A4" s="2" t="s">
        <v>10</v>
      </c>
      <c r="B4" s="14">
        <v>15000</v>
      </c>
    </row>
    <row r="5" spans="1:2" s="2" customFormat="1" x14ac:dyDescent="0.3">
      <c r="A5" s="2" t="s">
        <v>14</v>
      </c>
      <c r="B5" s="14">
        <v>8200</v>
      </c>
    </row>
    <row r="6" spans="1:2" s="2" customFormat="1" x14ac:dyDescent="0.3">
      <c r="A6" s="2" t="s">
        <v>18</v>
      </c>
      <c r="B6" s="14">
        <v>4200</v>
      </c>
    </row>
    <row r="7" spans="1:2" s="2" customFormat="1" x14ac:dyDescent="0.3">
      <c r="A7" s="2" t="s">
        <v>22</v>
      </c>
      <c r="B7" s="14">
        <v>27400</v>
      </c>
    </row>
    <row r="10" spans="1:2" s="2" customFormat="1" x14ac:dyDescent="0.3">
      <c r="A10" s="6" t="s">
        <v>27</v>
      </c>
      <c r="B10" s="15" t="str">
        <f>_xlfn.XLOOKUP(MIN(B4:B6),B4:B6,A4:A6,)</f>
        <v>UK</v>
      </c>
    </row>
    <row r="14" spans="1:2" s="2" customFormat="1" x14ac:dyDescent="0.3">
      <c r="A14" s="6" t="s">
        <v>28</v>
      </c>
      <c r="B14" s="15">
        <f>VLOOKUP(A6,A4:B6,2,FALSE)</f>
        <v>4200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E7A0-0B6C-47CB-89A4-100939E6FA5D}">
  <sheetPr codeName="Sheet5"/>
  <dimension ref="A3:B14"/>
  <sheetViews>
    <sheetView workbookViewId="0">
      <selection activeCell="L23" sqref="L23"/>
    </sheetView>
  </sheetViews>
  <sheetFormatPr defaultRowHeight="14.4" x14ac:dyDescent="0.3"/>
  <cols>
    <col min="1" max="1" width="32.44140625" style="2" bestFit="1" customWidth="1"/>
    <col min="2" max="2" width="18.21875" style="2" bestFit="1" customWidth="1"/>
    <col min="3" max="16384" width="8.88671875" style="2"/>
  </cols>
  <sheetData>
    <row r="3" spans="1:2" x14ac:dyDescent="0.3">
      <c r="A3" s="4" t="s">
        <v>1</v>
      </c>
      <c r="B3" s="2" t="s">
        <v>26</v>
      </c>
    </row>
    <row r="4" spans="1:2" x14ac:dyDescent="0.3">
      <c r="A4" s="2" t="s">
        <v>8</v>
      </c>
      <c r="B4" s="13">
        <v>2</v>
      </c>
    </row>
    <row r="5" spans="1:2" x14ac:dyDescent="0.3">
      <c r="A5" s="2" t="s">
        <v>12</v>
      </c>
      <c r="B5" s="13">
        <v>2</v>
      </c>
    </row>
    <row r="6" spans="1:2" x14ac:dyDescent="0.3">
      <c r="A6" s="2" t="s">
        <v>16</v>
      </c>
      <c r="B6" s="13">
        <v>1</v>
      </c>
    </row>
    <row r="7" spans="1:2" x14ac:dyDescent="0.3">
      <c r="A7" s="2" t="s">
        <v>22</v>
      </c>
      <c r="B7" s="13">
        <v>5</v>
      </c>
    </row>
    <row r="10" spans="1:2" x14ac:dyDescent="0.3">
      <c r="A10" s="6" t="s">
        <v>32</v>
      </c>
      <c r="B10" s="6" t="str" cm="1">
        <f t="array" ref="B10">_xlfn.TEXTJOIN(",",TRUE,_xlfn._xlws.FILTER(A4:A6,B4:B6=MAX(B4:B6)))</f>
        <v>Basic,Standard</v>
      </c>
    </row>
    <row r="14" spans="1:2" x14ac:dyDescent="0.3">
      <c r="A14" s="6" t="s">
        <v>33</v>
      </c>
      <c r="B14" s="6">
        <f>VLOOKUP(A4,A4:B6,2,FALSE)</f>
        <v>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5DCE-09C0-44A7-89FE-37AB329BF4D1}">
  <sheetPr codeName="Sheet4"/>
  <dimension ref="A3:B15"/>
  <sheetViews>
    <sheetView workbookViewId="0">
      <selection activeCell="C6" sqref="C6"/>
    </sheetView>
  </sheetViews>
  <sheetFormatPr defaultRowHeight="14.4" x14ac:dyDescent="0.3"/>
  <cols>
    <col min="1" max="1" width="28.77734375" style="2" bestFit="1" customWidth="1"/>
    <col min="2" max="2" width="17" style="2" bestFit="1" customWidth="1"/>
    <col min="3" max="16384" width="8.88671875" style="2"/>
  </cols>
  <sheetData>
    <row r="3" spans="1:2" s="2" customFormat="1" x14ac:dyDescent="0.3">
      <c r="A3" s="4" t="s">
        <v>1</v>
      </c>
      <c r="B3" s="2" t="s">
        <v>29</v>
      </c>
    </row>
    <row r="4" spans="1:2" s="2" customFormat="1" x14ac:dyDescent="0.3">
      <c r="A4" s="2" t="s">
        <v>8</v>
      </c>
      <c r="B4" s="13">
        <v>3</v>
      </c>
    </row>
    <row r="5" spans="1:2" s="2" customFormat="1" x14ac:dyDescent="0.3">
      <c r="A5" s="2" t="s">
        <v>16</v>
      </c>
      <c r="B5" s="13">
        <v>0</v>
      </c>
    </row>
    <row r="6" spans="1:2" s="2" customFormat="1" x14ac:dyDescent="0.3">
      <c r="A6" s="2" t="s">
        <v>12</v>
      </c>
      <c r="B6" s="13">
        <v>0</v>
      </c>
    </row>
    <row r="7" spans="1:2" s="2" customFormat="1" x14ac:dyDescent="0.3">
      <c r="A7" s="2" t="s">
        <v>22</v>
      </c>
      <c r="B7" s="13">
        <v>3</v>
      </c>
    </row>
    <row r="11" spans="1:2" s="2" customFormat="1" x14ac:dyDescent="0.3">
      <c r="A11" s="6" t="s">
        <v>30</v>
      </c>
      <c r="B11" s="6" t="str" cm="1">
        <f t="array" ref="B11">_xlfn.TEXTJOIN(",",TRUE,_xlfn._xlws.FILTER(A4:A6,B4:B6=MIN(B4:B6)))</f>
        <v>Premium,Standard</v>
      </c>
    </row>
    <row r="15" spans="1:2" s="2" customFormat="1" x14ac:dyDescent="0.3">
      <c r="A15" s="6" t="s">
        <v>31</v>
      </c>
      <c r="B15" s="6">
        <f>VLOOKUP(A6,A4:B6,2,FALSE)</f>
        <v>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1270-D842-489F-BB85-D0393C959190}">
  <sheetPr codeName="Sheet6"/>
  <dimension ref="A3:B15"/>
  <sheetViews>
    <sheetView workbookViewId="0">
      <selection activeCell="K25" sqref="K25"/>
    </sheetView>
  </sheetViews>
  <sheetFormatPr defaultRowHeight="14.4" x14ac:dyDescent="0.3"/>
  <cols>
    <col min="1" max="1" width="42.21875" style="2" bestFit="1" customWidth="1"/>
    <col min="2" max="2" width="16.21875" style="14" bestFit="1" customWidth="1"/>
    <col min="3" max="16384" width="8.88671875" style="2"/>
  </cols>
  <sheetData>
    <row r="3" spans="1:2" x14ac:dyDescent="0.3">
      <c r="A3" s="4" t="s">
        <v>6</v>
      </c>
      <c r="B3" s="14" t="s">
        <v>23</v>
      </c>
    </row>
    <row r="4" spans="1:2" x14ac:dyDescent="0.3">
      <c r="A4" s="2" t="s">
        <v>15</v>
      </c>
      <c r="B4" s="14">
        <v>12400</v>
      </c>
    </row>
    <row r="5" spans="1:2" x14ac:dyDescent="0.3">
      <c r="A5" s="2" t="s">
        <v>17</v>
      </c>
      <c r="B5" s="14">
        <v>12000</v>
      </c>
    </row>
    <row r="6" spans="1:2" x14ac:dyDescent="0.3">
      <c r="A6" s="2" t="s">
        <v>11</v>
      </c>
      <c r="B6" s="14">
        <v>3000</v>
      </c>
    </row>
    <row r="7" spans="1:2" x14ac:dyDescent="0.3">
      <c r="A7" s="2" t="s">
        <v>22</v>
      </c>
      <c r="B7" s="14">
        <v>27400</v>
      </c>
    </row>
    <row r="11" spans="1:2" x14ac:dyDescent="0.3">
      <c r="A11" s="6" t="s">
        <v>34</v>
      </c>
      <c r="B11" s="15" t="str">
        <f>_xlfn.XLOOKUP(MAX(B4:B6),B4:B6,A4:A6,)</f>
        <v>Desktop</v>
      </c>
    </row>
    <row r="15" spans="1:2" x14ac:dyDescent="0.3">
      <c r="A15" s="6" t="s">
        <v>35</v>
      </c>
      <c r="B15" s="15">
        <f>VLOOKUP(A4,A4:B6,2,FALSE)</f>
        <v>12400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C951-14EA-4AAB-900C-3A82A24B1C5D}">
  <sheetPr codeName="Sheet1"/>
  <dimension ref="A1:K11"/>
  <sheetViews>
    <sheetView tabSelected="1" workbookViewId="0">
      <selection activeCell="M13" sqref="M13"/>
    </sheetView>
  </sheetViews>
  <sheetFormatPr defaultRowHeight="14.4" x14ac:dyDescent="0.3"/>
  <cols>
    <col min="1" max="1" width="6.5546875" style="2" bestFit="1" customWidth="1"/>
    <col min="2" max="2" width="8.77734375" style="10" bestFit="1" customWidth="1"/>
    <col min="3" max="3" width="12" style="5" bestFit="1" customWidth="1"/>
    <col min="4" max="4" width="12.77734375" style="2" bestFit="1" customWidth="1"/>
    <col min="5" max="5" width="9.33203125" style="10" bestFit="1" customWidth="1"/>
    <col min="6" max="6" width="7.77734375" style="10" bestFit="1" customWidth="1"/>
    <col min="7" max="7" width="7.6640625" style="10" bestFit="1" customWidth="1"/>
    <col min="8" max="8" width="8.21875" style="10" bestFit="1" customWidth="1"/>
    <col min="9" max="9" width="9.88671875" style="5" bestFit="1" customWidth="1"/>
    <col min="10" max="10" width="11.5546875" style="2" bestFit="1" customWidth="1"/>
    <col min="11" max="11" width="9.44140625" style="2" bestFit="1" customWidth="1"/>
    <col min="12" max="16384" width="8.88671875" style="2"/>
  </cols>
  <sheetData>
    <row r="1" spans="1:11" x14ac:dyDescent="0.3">
      <c r="A1" s="1" t="s">
        <v>0</v>
      </c>
      <c r="B1" s="8" t="s">
        <v>1</v>
      </c>
      <c r="C1" s="11" t="s">
        <v>2</v>
      </c>
      <c r="D1" s="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1" t="s">
        <v>19</v>
      </c>
      <c r="J1" s="1" t="s">
        <v>20</v>
      </c>
      <c r="K1" s="1" t="s">
        <v>21</v>
      </c>
    </row>
    <row r="2" spans="1:11" x14ac:dyDescent="0.3">
      <c r="A2" s="3">
        <v>90001</v>
      </c>
      <c r="B2" s="9" t="s">
        <v>8</v>
      </c>
      <c r="C2" s="12">
        <v>200</v>
      </c>
      <c r="D2" s="3">
        <v>6</v>
      </c>
      <c r="E2" s="9" t="s">
        <v>9</v>
      </c>
      <c r="F2" s="9" t="s">
        <v>10</v>
      </c>
      <c r="G2" s="9" t="s">
        <v>11</v>
      </c>
      <c r="H2" s="9" t="s">
        <v>9</v>
      </c>
      <c r="I2" s="5">
        <f>C2*D2</f>
        <v>1200</v>
      </c>
      <c r="J2" s="2">
        <f>IF(E2="Yes",1,0)</f>
        <v>0</v>
      </c>
      <c r="K2" s="2">
        <f>IF(H2="Yes",1,0)</f>
        <v>0</v>
      </c>
    </row>
    <row r="3" spans="1:11" x14ac:dyDescent="0.3">
      <c r="A3" s="3">
        <v>90002</v>
      </c>
      <c r="B3" s="9" t="s">
        <v>12</v>
      </c>
      <c r="C3" s="12">
        <v>400</v>
      </c>
      <c r="D3" s="3">
        <v>12</v>
      </c>
      <c r="E3" s="9" t="s">
        <v>13</v>
      </c>
      <c r="F3" s="9" t="s">
        <v>14</v>
      </c>
      <c r="G3" s="9" t="s">
        <v>15</v>
      </c>
      <c r="H3" s="9" t="s">
        <v>9</v>
      </c>
      <c r="I3" s="5">
        <f t="shared" ref="I3:I11" si="0">C3*D3</f>
        <v>4800</v>
      </c>
      <c r="J3" s="2">
        <f t="shared" ref="J3:J11" si="1">IF(E3="Yes",1,0)</f>
        <v>1</v>
      </c>
      <c r="K3" s="2">
        <f t="shared" ref="K3:K11" si="2">IF(H3="Yes",1,0)</f>
        <v>0</v>
      </c>
    </row>
    <row r="4" spans="1:11" x14ac:dyDescent="0.3">
      <c r="A4" s="3">
        <v>90003</v>
      </c>
      <c r="B4" s="9" t="s">
        <v>16</v>
      </c>
      <c r="C4" s="12">
        <v>600</v>
      </c>
      <c r="D4" s="3">
        <v>8</v>
      </c>
      <c r="E4" s="9" t="s">
        <v>9</v>
      </c>
      <c r="F4" s="9" t="s">
        <v>10</v>
      </c>
      <c r="G4" s="9" t="s">
        <v>17</v>
      </c>
      <c r="H4" s="9" t="s">
        <v>9</v>
      </c>
      <c r="I4" s="5">
        <f t="shared" si="0"/>
        <v>4800</v>
      </c>
      <c r="J4" s="2">
        <f t="shared" si="1"/>
        <v>0</v>
      </c>
      <c r="K4" s="2">
        <f t="shared" si="2"/>
        <v>0</v>
      </c>
    </row>
    <row r="5" spans="1:11" x14ac:dyDescent="0.3">
      <c r="A5" s="3">
        <v>90004</v>
      </c>
      <c r="B5" s="9" t="s">
        <v>8</v>
      </c>
      <c r="C5" s="12">
        <v>200</v>
      </c>
      <c r="D5" s="3">
        <v>3</v>
      </c>
      <c r="E5" s="9" t="s">
        <v>13</v>
      </c>
      <c r="F5" s="9" t="s">
        <v>18</v>
      </c>
      <c r="G5" s="9" t="s">
        <v>11</v>
      </c>
      <c r="H5" s="9" t="s">
        <v>13</v>
      </c>
      <c r="I5" s="5">
        <f t="shared" si="0"/>
        <v>600</v>
      </c>
      <c r="J5" s="2">
        <f t="shared" si="1"/>
        <v>1</v>
      </c>
      <c r="K5" s="2">
        <f t="shared" si="2"/>
        <v>1</v>
      </c>
    </row>
    <row r="6" spans="1:11" x14ac:dyDescent="0.3">
      <c r="A6" s="3">
        <v>90005</v>
      </c>
      <c r="B6" s="9" t="s">
        <v>12</v>
      </c>
      <c r="C6" s="12">
        <v>400</v>
      </c>
      <c r="D6" s="3">
        <v>10</v>
      </c>
      <c r="E6" s="9" t="s">
        <v>9</v>
      </c>
      <c r="F6" s="9" t="s">
        <v>10</v>
      </c>
      <c r="G6" s="9" t="s">
        <v>15</v>
      </c>
      <c r="H6" s="9" t="s">
        <v>9</v>
      </c>
      <c r="I6" s="5">
        <f t="shared" si="0"/>
        <v>4000</v>
      </c>
      <c r="J6" s="2">
        <f t="shared" si="1"/>
        <v>0</v>
      </c>
      <c r="K6" s="2">
        <f t="shared" si="2"/>
        <v>0</v>
      </c>
    </row>
    <row r="7" spans="1:11" x14ac:dyDescent="0.3">
      <c r="A7" s="3">
        <v>90006</v>
      </c>
      <c r="B7" s="9" t="s">
        <v>16</v>
      </c>
      <c r="C7" s="12">
        <v>600</v>
      </c>
      <c r="D7" s="3">
        <v>5</v>
      </c>
      <c r="E7" s="9" t="s">
        <v>13</v>
      </c>
      <c r="F7" s="9" t="s">
        <v>14</v>
      </c>
      <c r="G7" s="9" t="s">
        <v>17</v>
      </c>
      <c r="H7" s="9" t="s">
        <v>9</v>
      </c>
      <c r="I7" s="5">
        <f t="shared" si="0"/>
        <v>3000</v>
      </c>
      <c r="J7" s="2">
        <f t="shared" si="1"/>
        <v>1</v>
      </c>
      <c r="K7" s="2">
        <f t="shared" si="2"/>
        <v>0</v>
      </c>
    </row>
    <row r="8" spans="1:11" x14ac:dyDescent="0.3">
      <c r="A8" s="3">
        <v>90007</v>
      </c>
      <c r="B8" s="9" t="s">
        <v>8</v>
      </c>
      <c r="C8" s="12">
        <v>200</v>
      </c>
      <c r="D8" s="3">
        <v>4</v>
      </c>
      <c r="E8" s="9" t="s">
        <v>9</v>
      </c>
      <c r="F8" s="9" t="s">
        <v>10</v>
      </c>
      <c r="G8" s="9" t="s">
        <v>11</v>
      </c>
      <c r="H8" s="9" t="s">
        <v>13</v>
      </c>
      <c r="I8" s="5">
        <f t="shared" si="0"/>
        <v>800</v>
      </c>
      <c r="J8" s="2">
        <f t="shared" si="1"/>
        <v>0</v>
      </c>
      <c r="K8" s="2">
        <f t="shared" si="2"/>
        <v>1</v>
      </c>
    </row>
    <row r="9" spans="1:11" x14ac:dyDescent="0.3">
      <c r="A9" s="3">
        <v>90008</v>
      </c>
      <c r="B9" s="9" t="s">
        <v>12</v>
      </c>
      <c r="C9" s="12">
        <v>400</v>
      </c>
      <c r="D9" s="3">
        <v>9</v>
      </c>
      <c r="E9" s="9" t="s">
        <v>13</v>
      </c>
      <c r="F9" s="9" t="s">
        <v>18</v>
      </c>
      <c r="G9" s="9" t="s">
        <v>15</v>
      </c>
      <c r="H9" s="9" t="s">
        <v>9</v>
      </c>
      <c r="I9" s="5">
        <f t="shared" si="0"/>
        <v>3600</v>
      </c>
      <c r="J9" s="2">
        <f t="shared" si="1"/>
        <v>1</v>
      </c>
      <c r="K9" s="2">
        <f t="shared" si="2"/>
        <v>0</v>
      </c>
    </row>
    <row r="10" spans="1:11" x14ac:dyDescent="0.3">
      <c r="A10" s="3">
        <v>90009</v>
      </c>
      <c r="B10" s="9" t="s">
        <v>16</v>
      </c>
      <c r="C10" s="12">
        <v>600</v>
      </c>
      <c r="D10" s="3">
        <v>7</v>
      </c>
      <c r="E10" s="9" t="s">
        <v>9</v>
      </c>
      <c r="F10" s="9" t="s">
        <v>10</v>
      </c>
      <c r="G10" s="9" t="s">
        <v>17</v>
      </c>
      <c r="H10" s="9" t="s">
        <v>9</v>
      </c>
      <c r="I10" s="5">
        <f t="shared" si="0"/>
        <v>4200</v>
      </c>
      <c r="J10" s="2">
        <f t="shared" si="1"/>
        <v>0</v>
      </c>
      <c r="K10" s="2">
        <f t="shared" si="2"/>
        <v>0</v>
      </c>
    </row>
    <row r="11" spans="1:11" x14ac:dyDescent="0.3">
      <c r="A11" s="3">
        <v>90010</v>
      </c>
      <c r="B11" s="9" t="s">
        <v>8</v>
      </c>
      <c r="C11" s="12">
        <v>200</v>
      </c>
      <c r="D11" s="3">
        <v>2</v>
      </c>
      <c r="E11" s="9" t="s">
        <v>13</v>
      </c>
      <c r="F11" s="9" t="s">
        <v>14</v>
      </c>
      <c r="G11" s="9" t="s">
        <v>11</v>
      </c>
      <c r="H11" s="9" t="s">
        <v>13</v>
      </c>
      <c r="I11" s="5">
        <f t="shared" si="0"/>
        <v>400</v>
      </c>
      <c r="J11" s="2">
        <f t="shared" si="1"/>
        <v>1</v>
      </c>
      <c r="K11" s="2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PlanType</vt:lpstr>
      <vt:lpstr>Revenue by Country</vt:lpstr>
      <vt:lpstr>Upgrade rate by PlanType</vt:lpstr>
      <vt:lpstr>Churnrate by PlanType</vt:lpstr>
      <vt:lpstr>Revenue by Device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</dc:creator>
  <cp:lastModifiedBy>Swaroopa B</cp:lastModifiedBy>
  <dcterms:created xsi:type="dcterms:W3CDTF">2026-05-06T05:19:10Z</dcterms:created>
  <dcterms:modified xsi:type="dcterms:W3CDTF">2026-05-06T06:36:08Z</dcterms:modified>
</cp:coreProperties>
</file>