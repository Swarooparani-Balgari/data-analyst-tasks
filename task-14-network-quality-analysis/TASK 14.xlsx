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ebd91e607248c2/TASKS/TASK 14/"/>
    </mc:Choice>
  </mc:AlternateContent>
  <xr:revisionPtr revIDLastSave="2" documentId="8_{789C0FE3-FC9F-4291-9432-B4C562F8DDC2}" xr6:coauthVersionLast="47" xr6:coauthVersionMax="47" xr10:uidLastSave="{2A292983-7CDF-4FA0-970E-67912B8B047B}"/>
  <bookViews>
    <workbookView xWindow="-108" yWindow="-108" windowWidth="23256" windowHeight="12456" firstSheet="3" activeTab="5" xr2:uid="{0C027A57-F455-493D-AA9C-CFAADF25E976}"/>
  </bookViews>
  <sheets>
    <sheet name="Churn rate by PlanType" sheetId="3" r:id="rId1"/>
    <sheet name="Complaints rate by Churned" sheetId="4" r:id="rId2"/>
    <sheet name="Avg DataUsage by CustomerSegmen" sheetId="5" r:id="rId3"/>
    <sheet name="Avg MonthlyBill by PlanType" sheetId="7" r:id="rId4"/>
    <sheet name="Network rating by Churned" sheetId="6" r:id="rId5"/>
    <sheet name="Dataset" sheetId="1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7" l="1"/>
  <c r="B10" i="7"/>
  <c r="B13" i="6"/>
  <c r="B9" i="6"/>
  <c r="B14" i="5"/>
  <c r="B10" i="4"/>
  <c r="B10" i="5"/>
  <c r="B14" i="4"/>
  <c r="B14" i="3"/>
  <c r="B10" i="3" a="1"/>
  <c r="B10" i="3" s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<sst xmlns="http://schemas.openxmlformats.org/spreadsheetml/2006/main" count="79" uniqueCount="44">
  <si>
    <t>CustomerID</t>
  </si>
  <si>
    <t>PlanType</t>
  </si>
  <si>
    <t>MonthlyBill</t>
  </si>
  <si>
    <t>DataUsage_GB</t>
  </si>
  <si>
    <t>CallDropComplaints</t>
  </si>
  <si>
    <t>NetworkRating</t>
  </si>
  <si>
    <t>Tenure_Months</t>
  </si>
  <si>
    <t>Churned</t>
  </si>
  <si>
    <t>T1001</t>
  </si>
  <si>
    <t>Prepaid</t>
  </si>
  <si>
    <t>Yes</t>
  </si>
  <si>
    <t>T1002</t>
  </si>
  <si>
    <t>Postpaid</t>
  </si>
  <si>
    <t>No</t>
  </si>
  <si>
    <t>T1003</t>
  </si>
  <si>
    <t>T1004</t>
  </si>
  <si>
    <t>Family</t>
  </si>
  <si>
    <t>T1005</t>
  </si>
  <si>
    <t>T1006</t>
  </si>
  <si>
    <t>T1007</t>
  </si>
  <si>
    <t>T1008</t>
  </si>
  <si>
    <t>T1009</t>
  </si>
  <si>
    <t>T1010</t>
  </si>
  <si>
    <t>ChurnFlag</t>
  </si>
  <si>
    <t>ComplaintCategory</t>
  </si>
  <si>
    <t>CustomerSegment</t>
  </si>
  <si>
    <t>Grand Total</t>
  </si>
  <si>
    <t>Sum of ChurnFlag</t>
  </si>
  <si>
    <t>Which plans have lowest churn rate</t>
  </si>
  <si>
    <t>What's the lowest churn rate</t>
  </si>
  <si>
    <t>Avg of CallDropComplaints</t>
  </si>
  <si>
    <t>Loyal Customer</t>
  </si>
  <si>
    <t>Mid-term Customer</t>
  </si>
  <si>
    <t>New Customer</t>
  </si>
  <si>
    <t>Avg of NetworkRating</t>
  </si>
  <si>
    <t>Avg of MonthlyBill</t>
  </si>
  <si>
    <t>Which customer segment have highest calldrop complaints</t>
  </si>
  <si>
    <t>What's the value of  avg calldrop complaints by customers who are leaving our platform</t>
  </si>
  <si>
    <t>Which churn type has highest calldrop complaints</t>
  </si>
  <si>
    <t xml:space="preserve">What's the value of highest avg calldrop complaints </t>
  </si>
  <si>
    <t>Which churn type has lowest network rating</t>
  </si>
  <si>
    <t xml:space="preserve">What's the lowest avg NetworkRating </t>
  </si>
  <si>
    <t>Which plan generates the highest revenue</t>
  </si>
  <si>
    <t>What's the highest avg revenue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</si>
</sst>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</cellXfs>
  <cellStyles count="1">
    <cellStyle name="Normal" xfId="0" builtinId="0"/>
  </cellStyles>
  <dxfs count="6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14.xlsx]Churn rate by PlanType!PivotTable1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PlanType</a:t>
            </a:r>
          </a:p>
        </c:rich>
      </c:tx>
      <c:layout>
        <c:manualLayout>
          <c:xMode val="edge"/>
          <c:yMode val="edge"/>
          <c:x val="0.3226778658162235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rate by PlanType'!$B$3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rate by PlanType'!$A$4:$A$7</c:f>
              <c:strCache>
                <c:ptCount val="3"/>
                <c:pt idx="0">
                  <c:v>Prepaid</c:v>
                </c:pt>
                <c:pt idx="1">
                  <c:v>Family</c:v>
                </c:pt>
                <c:pt idx="2">
                  <c:v>Postpaid</c:v>
                </c:pt>
              </c:strCache>
            </c:strRef>
          </c:cat>
          <c:val>
            <c:numRef>
              <c:f>'Churn rate by PlanType'!$B$4:$B$7</c:f>
              <c:numCache>
                <c:formatCode>General</c:formatCode>
                <c:ptCount val="3"/>
                <c:pt idx="0">
                  <c:v>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59-4CFF-96CD-B2B1ED08C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4697648"/>
        <c:axId val="1594699088"/>
      </c:barChart>
      <c:catAx>
        <c:axId val="159469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699088"/>
        <c:crosses val="autoZero"/>
        <c:auto val="1"/>
        <c:lblAlgn val="ctr"/>
        <c:lblOffset val="100"/>
        <c:noMultiLvlLbl val="0"/>
      </c:catAx>
      <c:valAx>
        <c:axId val="159469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69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14.xlsx]Complaints rate by Churned!PivotTable2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Complaints rate by Churned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'Complaints rate by Churned'!$B$3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813-4D01-9C0B-8CD4B083182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813-4D01-9C0B-8CD4B0831829}"/>
              </c:ext>
            </c:extLst>
          </c:dPt>
          <c:cat>
            <c:strRef>
              <c:f>'Complaints rate by Churned'!$A$4:$A$6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'Complaints rate by Churned'!$B$4:$B$6</c:f>
              <c:numCache>
                <c:formatCode>General</c:formatCode>
                <c:ptCount val="2"/>
                <c:pt idx="0">
                  <c:v>5</c:v>
                </c:pt>
                <c:pt idx="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6-4A94-B5B5-5DC8A9ED4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9208240"/>
        <c:axId val="1739216400"/>
      </c:barChart>
      <c:catAx>
        <c:axId val="173920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216400"/>
        <c:crosses val="autoZero"/>
        <c:auto val="1"/>
        <c:lblAlgn val="ctr"/>
        <c:lblOffset val="100"/>
        <c:noMultiLvlLbl val="0"/>
      </c:catAx>
      <c:valAx>
        <c:axId val="173921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20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14.xlsx]Avg DataUsage by CustomerSegmen!PivotTable3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DataUsage by CustomerSegment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'Avg DataUsage by CustomerSegmen'!$B$3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D1D-4B7D-BFEE-CEC176820B30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D1D-4B7D-BFEE-CEC176820B30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D1D-4B7D-BFEE-CEC176820B30}"/>
              </c:ext>
            </c:extLst>
          </c:dPt>
          <c:cat>
            <c:strRef>
              <c:f>'Avg DataUsage by CustomerSegmen'!$A$4:$A$7</c:f>
              <c:strCache>
                <c:ptCount val="3"/>
                <c:pt idx="0">
                  <c:v>New Customer</c:v>
                </c:pt>
                <c:pt idx="1">
                  <c:v>Mid-term Customer</c:v>
                </c:pt>
                <c:pt idx="2">
                  <c:v>Loyal Customer</c:v>
                </c:pt>
              </c:strCache>
            </c:strRef>
          </c:cat>
          <c:val>
            <c:numRef>
              <c:f>'Avg DataUsage by CustomerSegmen'!$B$4:$B$7</c:f>
              <c:numCache>
                <c:formatCode>General</c:formatCode>
                <c:ptCount val="3"/>
                <c:pt idx="0">
                  <c:v>5.5</c:v>
                </c:pt>
                <c:pt idx="1">
                  <c:v>2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44-4F04-B9D3-8B925F9ED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14.xlsx]Avg MonthlyBill by PlanType!PivotTable5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MonthlyBill by PlanType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MonthlyBill by PlanType'!$B$3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F50-4F17-BC12-BE5D2F25B0E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50-4F17-BC12-BE5D2F25B0E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F50-4F17-BC12-BE5D2F25B0EB}"/>
              </c:ext>
            </c:extLst>
          </c:dPt>
          <c:cat>
            <c:strRef>
              <c:f>'Avg MonthlyBill by PlanType'!$A$4:$A$7</c:f>
              <c:strCache>
                <c:ptCount val="3"/>
                <c:pt idx="0">
                  <c:v>Family</c:v>
                </c:pt>
                <c:pt idx="1">
                  <c:v>Postpaid</c:v>
                </c:pt>
                <c:pt idx="2">
                  <c:v>Prepaid</c:v>
                </c:pt>
              </c:strCache>
            </c:strRef>
          </c:cat>
          <c:val>
            <c:numRef>
              <c:f>'Avg MonthlyBill by PlanType'!$B$4:$B$7</c:f>
              <c:numCache>
                <c:formatCode>_ [$₹-4009]\ * #,##0.00_ ;_ [$₹-4009]\ * \-#,##0.00_ ;_ [$₹-4009]\ * "-"??_ ;_ @_ </c:formatCode>
                <c:ptCount val="3"/>
                <c:pt idx="0">
                  <c:v>1549</c:v>
                </c:pt>
                <c:pt idx="1">
                  <c:v>899</c:v>
                </c:pt>
                <c:pt idx="2">
                  <c:v>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6-461D-B663-5167E16C6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9240880"/>
        <c:axId val="1739249040"/>
      </c:barChart>
      <c:catAx>
        <c:axId val="173924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249040"/>
        <c:crosses val="autoZero"/>
        <c:auto val="1"/>
        <c:lblAlgn val="ctr"/>
        <c:lblOffset val="100"/>
        <c:noMultiLvlLbl val="0"/>
      </c:catAx>
      <c:valAx>
        <c:axId val="173924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24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14.xlsx]Network rating by Churned!PivotTable4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Network rating by Churned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'Network rating by Churned'!$B$3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EC0-4024-A45C-E4F00252C7C6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C0-4024-A45C-E4F00252C7C6}"/>
              </c:ext>
            </c:extLst>
          </c:dPt>
          <c:cat>
            <c:strRef>
              <c:f>'Network rating by Churned'!$A$4:$A$6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'Network rating by Churned'!$B$4:$B$6</c:f>
              <c:numCache>
                <c:formatCode>General</c:formatCode>
                <c:ptCount val="2"/>
                <c:pt idx="0">
                  <c:v>4.5999999999999996</c:v>
                </c:pt>
                <c:pt idx="1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A-49E6-AB4A-14A96BDC1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9226000"/>
        <c:axId val="1739231760"/>
      </c:barChart>
      <c:catAx>
        <c:axId val="173922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231760"/>
        <c:crosses val="autoZero"/>
        <c:auto val="1"/>
        <c:lblAlgn val="ctr"/>
        <c:lblOffset val="100"/>
        <c:noMultiLvlLbl val="0"/>
      </c:catAx>
      <c:valAx>
        <c:axId val="173923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22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179070</xdr:rowOff>
    </xdr:from>
    <xdr:to>
      <xdr:col>10</xdr:col>
      <xdr:colOff>594360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F5A653-C96F-9C7E-3DAF-3CC13CD54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236220</xdr:colOff>
      <xdr:row>3</xdr:row>
      <xdr:rowOff>49530</xdr:rowOff>
    </xdr:from>
    <xdr:to>
      <xdr:col>9</xdr:col>
      <xdr:colOff>541020</xdr:colOff>
      <xdr:row>18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171D4E-02C1-A83C-1C70-B0C801873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163830</xdr:rowOff>
    </xdr:from>
    <xdr:to>
      <xdr:col>10</xdr:col>
      <xdr:colOff>320040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F09D46-2655-FE43-0BFC-A5D1E14DE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2</xdr:row>
      <xdr:rowOff>34290</xdr:rowOff>
    </xdr:from>
    <xdr:to>
      <xdr:col>12</xdr:col>
      <xdr:colOff>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5254F1-001F-7076-2466-43286A1C81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171450</xdr:rowOff>
    </xdr:from>
    <xdr:to>
      <xdr:col>11</xdr:col>
      <xdr:colOff>579120</xdr:colOff>
      <xdr:row>19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86A23E-100C-E302-ACB1-1E2C890C64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69.909770138889" createdVersion="8" refreshedVersion="8" minRefreshableVersion="3" recordCount="10" xr:uid="{2B9A342D-C9F2-43A9-B289-57AF4CBF006C}">
  <cacheSource type="worksheet">
    <worksheetSource ref="A1:K11" sheet="Dataset"/>
  </cacheSource>
  <cacheFields count="11">
    <cacheField name="CustomerID" numFmtId="0">
      <sharedItems/>
    </cacheField>
    <cacheField name="PlanType" numFmtId="0">
      <sharedItems count="3">
        <s v="Prepaid"/>
        <s v="Postpaid"/>
        <s v="Family"/>
      </sharedItems>
    </cacheField>
    <cacheField name="MonthlyBill" numFmtId="164">
      <sharedItems containsSemiMixedTypes="0" containsString="0" containsNumber="1" containsInteger="1" minValue="249" maxValue="1599"/>
    </cacheField>
    <cacheField name="DataUsage_GB" numFmtId="0">
      <sharedItems containsSemiMixedTypes="0" containsString="0" containsNumber="1" containsInteger="1" minValue="12" maxValue="230"/>
    </cacheField>
    <cacheField name="CallDropComplaints" numFmtId="0">
      <sharedItems containsSemiMixedTypes="0" containsString="0" containsNumber="1" containsInteger="1" minValue="0" maxValue="7"/>
    </cacheField>
    <cacheField name="NetworkRating" numFmtId="0">
      <sharedItems containsSemiMixedTypes="0" containsString="0" containsNumber="1" containsInteger="1" minValue="1" maxValue="5"/>
    </cacheField>
    <cacheField name="Tenure_Months" numFmtId="0">
      <sharedItems containsSemiMixedTypes="0" containsString="0" containsNumber="1" containsInteger="1" minValue="5" maxValue="52"/>
    </cacheField>
    <cacheField name="Churned" numFmtId="0">
      <sharedItems count="2">
        <s v="Yes"/>
        <s v="No"/>
      </sharedItems>
    </cacheField>
    <cacheField name="ChurnFlag" numFmtId="0">
      <sharedItems containsSemiMixedTypes="0" containsString="0" containsNumber="1" containsInteger="1" minValue="0" maxValue="1"/>
    </cacheField>
    <cacheField name="ComplaintCategory" numFmtId="0">
      <sharedItems/>
    </cacheField>
    <cacheField name="CustomerSegment" numFmtId="0">
      <sharedItems count="3">
        <s v="New Customer"/>
        <s v="Loyal Customer"/>
        <s v="Mid-term Custom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T1001"/>
    <x v="0"/>
    <n v="299"/>
    <n v="18"/>
    <n v="5"/>
    <n v="2"/>
    <n v="8"/>
    <x v="0"/>
    <n v="1"/>
    <s v="High Complaints"/>
    <x v="0"/>
  </r>
  <r>
    <s v="T1002"/>
    <x v="1"/>
    <n v="899"/>
    <n v="120"/>
    <n v="0"/>
    <n v="5"/>
    <n v="36"/>
    <x v="1"/>
    <n v="0"/>
    <s v="Low Complaints"/>
    <x v="1"/>
  </r>
  <r>
    <s v="T1003"/>
    <x v="0"/>
    <n v="399"/>
    <n v="25"/>
    <n v="3"/>
    <n v="3"/>
    <n v="14"/>
    <x v="0"/>
    <n v="1"/>
    <s v="Medium Complaints"/>
    <x v="2"/>
  </r>
  <r>
    <s v="T1004"/>
    <x v="2"/>
    <n v="1499"/>
    <n v="210"/>
    <n v="1"/>
    <n v="4"/>
    <n v="48"/>
    <x v="1"/>
    <n v="0"/>
    <s v="Low Complaints"/>
    <x v="1"/>
  </r>
  <r>
    <s v="T1005"/>
    <x v="0"/>
    <n v="249"/>
    <n v="12"/>
    <n v="6"/>
    <n v="2"/>
    <n v="6"/>
    <x v="0"/>
    <n v="1"/>
    <s v="High Complaints"/>
    <x v="0"/>
  </r>
  <r>
    <s v="T1006"/>
    <x v="1"/>
    <n v="799"/>
    <n v="95"/>
    <n v="1"/>
    <n v="4"/>
    <n v="28"/>
    <x v="1"/>
    <n v="0"/>
    <s v="Low Complaints"/>
    <x v="2"/>
  </r>
  <r>
    <s v="T1007"/>
    <x v="2"/>
    <n v="1599"/>
    <n v="230"/>
    <n v="0"/>
    <n v="5"/>
    <n v="52"/>
    <x v="1"/>
    <n v="0"/>
    <s v="Low Complaints"/>
    <x v="1"/>
  </r>
  <r>
    <s v="T1008"/>
    <x v="0"/>
    <n v="349"/>
    <n v="20"/>
    <n v="4"/>
    <n v="3"/>
    <n v="10"/>
    <x v="0"/>
    <n v="1"/>
    <s v="Medium Complaints"/>
    <x v="0"/>
  </r>
  <r>
    <s v="T1009"/>
    <x v="1"/>
    <n v="999"/>
    <n v="140"/>
    <n v="0"/>
    <n v="5"/>
    <n v="40"/>
    <x v="1"/>
    <n v="0"/>
    <s v="Low Complaints"/>
    <x v="1"/>
  </r>
  <r>
    <s v="T1010"/>
    <x v="0"/>
    <n v="279"/>
    <n v="15"/>
    <n v="7"/>
    <n v="1"/>
    <n v="5"/>
    <x v="0"/>
    <n v="1"/>
    <s v="High Complaint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72A2E9-C3F5-4863-8916-76D745AA0D8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lanType">
  <location ref="A3:B7" firstHeaderRow="1" firstDataRow="1" firstDataCol="1"/>
  <pivotFields count="11"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ChurnFlag" fld="8" baseField="0" baseItem="0"/>
  </dataFields>
  <formats count="12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1" type="button" dataOnly="0" labelOnly="1" outline="0" axis="axisRow" fieldPosition="0"/>
    </format>
    <format dxfId="56">
      <pivotArea dataOnly="0" labelOnly="1" fieldPosition="0">
        <references count="1">
          <reference field="1" count="0"/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1" type="button" dataOnly="0" labelOnly="1" outline="0" axis="axisRow" fieldPosition="0"/>
    </format>
    <format dxfId="50">
      <pivotArea dataOnly="0" labelOnly="1" fieldPosition="0">
        <references count="1">
          <reference field="1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B1F2E8-9603-41A5-93DB-DCC33DCA763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hurned">
  <location ref="A3:B6" firstHeaderRow="1" firstDataRow="1" firstDataCol="1"/>
  <pivotFields count="11">
    <pivotField showAll="0"/>
    <pivotField showAll="0"/>
    <pivotField numFmtId="164" showAll="0"/>
    <pivotField showAll="0"/>
    <pivotField dataField="1" showAll="0"/>
    <pivotField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7"/>
  </rowFields>
  <rowItems count="3">
    <i>
      <x v="1"/>
    </i>
    <i>
      <x/>
    </i>
    <i t="grand">
      <x/>
    </i>
  </rowItems>
  <colItems count="1">
    <i/>
  </colItems>
  <dataFields count="1">
    <dataField name="Avg of CallDropComplaints" fld="4" subtotal="average" baseField="7" baseItem="0"/>
  </dataFields>
  <formats count="12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7" type="button" dataOnly="0" labelOnly="1" outline="0" axis="axisRow" fieldPosition="0"/>
    </format>
    <format dxfId="44">
      <pivotArea dataOnly="0" labelOnly="1" fieldPosition="0">
        <references count="1">
          <reference field="7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7" type="button" dataOnly="0" labelOnly="1" outline="0" axis="axisRow" fieldPosition="0"/>
    </format>
    <format dxfId="38">
      <pivotArea dataOnly="0" labelOnly="1" fieldPosition="0">
        <references count="1">
          <reference field="7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C11835-8D90-4C69-9025-90AF440254F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ustomerSegment">
  <location ref="A3:B7" firstHeaderRow="1" firstDataRow="1" firstDataCol="1"/>
  <pivotFields count="11">
    <pivotField showAll="0"/>
    <pivotField showAll="0"/>
    <pivotField numFmtId="164"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Avg of CallDropComplaints" fld="4" subtotal="average" baseField="10" baseItem="0"/>
  </dataFields>
  <formats count="12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0" type="button" dataOnly="0" labelOnly="1" outline="0" axis="axisRow" fieldPosition="0"/>
    </format>
    <format dxfId="32">
      <pivotArea dataOnly="0" labelOnly="1" fieldPosition="0">
        <references count="1">
          <reference field="10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0" type="button" dataOnly="0" labelOnly="1" outline="0" axis="axisRow" fieldPosition="0"/>
    </format>
    <format dxfId="26">
      <pivotArea dataOnly="0" labelOnly="1" fieldPosition="0">
        <references count="1">
          <reference field="10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3AF78F-80C4-42C4-BE8B-5F7FFC86747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lanType">
  <location ref="A3:B7" firstHeaderRow="1" firstDataRow="1" firstDataCol="1"/>
  <pivotFields count="11">
    <pivotField showAll="0"/>
    <pivotField axis="axisRow" showAll="0">
      <items count="4">
        <item x="2"/>
        <item x="1"/>
        <item x="0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g of MonthlyBill" fld="2" subtotal="average" baseField="1" baseItem="0" numFmtId="164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8CBB6F-C1FA-4678-89E8-6797EFFAE2B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hurned">
  <location ref="A3:B6" firstHeaderRow="1" firstDataRow="1" firstDataCol="1"/>
  <pivotFields count="11">
    <pivotField showAll="0"/>
    <pivotField showAll="0"/>
    <pivotField numFmtId="164" showAll="0"/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Avg of NetworkRating" fld="5" subtotal="average" baseField="7" baseItem="0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7" type="button" dataOnly="0" labelOnly="1" outline="0" axis="axisRow" fieldPosition="0"/>
    </format>
    <format dxfId="20">
      <pivotArea dataOnly="0" labelOnly="1" fieldPosition="0">
        <references count="1">
          <reference field="7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7" type="button" dataOnly="0" labelOnly="1" outline="0" axis="axisRow" fieldPosition="0"/>
    </format>
    <format dxfId="14">
      <pivotArea dataOnly="0" labelOnly="1" fieldPosition="0">
        <references count="1">
          <reference field="7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25668-966E-489C-BD2B-4ADEBF5EB1A9}">
  <sheetPr codeName="Sheet2"/>
  <dimension ref="A3:B14"/>
  <sheetViews>
    <sheetView workbookViewId="0">
      <selection activeCell="G24" sqref="G24"/>
    </sheetView>
  </sheetViews>
  <sheetFormatPr defaultRowHeight="14.4" x14ac:dyDescent="0.3"/>
  <cols>
    <col min="1" max="1" width="31.33203125" style="2" bestFit="1" customWidth="1"/>
    <col min="2" max="2" width="16" style="2" bestFit="1" customWidth="1"/>
    <col min="3" max="16384" width="8.88671875" style="2"/>
  </cols>
  <sheetData>
    <row r="3" spans="1:2" x14ac:dyDescent="0.3">
      <c r="A3" s="5" t="s">
        <v>1</v>
      </c>
      <c r="B3" s="2" t="s">
        <v>27</v>
      </c>
    </row>
    <row r="4" spans="1:2" x14ac:dyDescent="0.3">
      <c r="A4" s="2" t="s">
        <v>9</v>
      </c>
      <c r="B4" s="2">
        <v>5</v>
      </c>
    </row>
    <row r="5" spans="1:2" x14ac:dyDescent="0.3">
      <c r="A5" s="2" t="s">
        <v>16</v>
      </c>
      <c r="B5" s="2">
        <v>0</v>
      </c>
    </row>
    <row r="6" spans="1:2" x14ac:dyDescent="0.3">
      <c r="A6" s="2" t="s">
        <v>12</v>
      </c>
      <c r="B6" s="2">
        <v>0</v>
      </c>
    </row>
    <row r="7" spans="1:2" x14ac:dyDescent="0.3">
      <c r="A7" s="2" t="s">
        <v>26</v>
      </c>
      <c r="B7" s="2">
        <v>5</v>
      </c>
    </row>
    <row r="10" spans="1:2" x14ac:dyDescent="0.3">
      <c r="A10" s="1" t="s">
        <v>28</v>
      </c>
      <c r="B10" s="1" t="str" cm="1">
        <f t="array" ref="B10">_xlfn.TEXTJOIN(",",TRUE,_xlfn._xlws.FILTER(A4:A6,B4:B6=MIN(B4:B6)))</f>
        <v>Family,Postpaid</v>
      </c>
    </row>
    <row r="14" spans="1:2" x14ac:dyDescent="0.3">
      <c r="A14" s="1" t="s">
        <v>29</v>
      </c>
      <c r="B14" s="1">
        <f>VLOOKUP(A6,A4:B6,2,FALSE)</f>
        <v>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519B5-4083-4748-9EE3-4B6F4857F611}">
  <sheetPr codeName="Sheet3"/>
  <dimension ref="A3:B14"/>
  <sheetViews>
    <sheetView workbookViewId="0">
      <selection activeCell="F23" sqref="F23"/>
    </sheetView>
  </sheetViews>
  <sheetFormatPr defaultRowHeight="14.4" x14ac:dyDescent="0.3"/>
  <cols>
    <col min="1" max="1" width="76.21875" style="2" bestFit="1" customWidth="1"/>
    <col min="2" max="2" width="23.77734375" style="2" bestFit="1" customWidth="1"/>
    <col min="3" max="16384" width="8.88671875" style="2"/>
  </cols>
  <sheetData>
    <row r="3" spans="1:2" x14ac:dyDescent="0.3">
      <c r="A3" s="5" t="s">
        <v>7</v>
      </c>
      <c r="B3" s="2" t="s">
        <v>30</v>
      </c>
    </row>
    <row r="4" spans="1:2" x14ac:dyDescent="0.3">
      <c r="A4" s="2" t="s">
        <v>10</v>
      </c>
      <c r="B4" s="2">
        <v>5</v>
      </c>
    </row>
    <row r="5" spans="1:2" x14ac:dyDescent="0.3">
      <c r="A5" s="2" t="s">
        <v>13</v>
      </c>
      <c r="B5" s="2">
        <v>0.4</v>
      </c>
    </row>
    <row r="6" spans="1:2" x14ac:dyDescent="0.3">
      <c r="A6" s="2" t="s">
        <v>26</v>
      </c>
      <c r="B6" s="2">
        <v>2.7</v>
      </c>
    </row>
    <row r="10" spans="1:2" x14ac:dyDescent="0.3">
      <c r="A10" s="1" t="s">
        <v>38</v>
      </c>
      <c r="B10" s="1" t="str">
        <f>_xlfn.XLOOKUP(MAX(B4:B5),B4:B5,A4:A5,)</f>
        <v>Yes</v>
      </c>
    </row>
    <row r="14" spans="1:2" x14ac:dyDescent="0.3">
      <c r="A14" s="1" t="s">
        <v>37</v>
      </c>
      <c r="B14" s="1">
        <f>_xlfn.XLOOKUP(A4,A4:A5,B4:B5,)</f>
        <v>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CCAF5-98A6-4A74-8ABC-4E1CB22AF73B}">
  <sheetPr codeName="Sheet4"/>
  <dimension ref="A3:B14"/>
  <sheetViews>
    <sheetView workbookViewId="0">
      <selection activeCell="I21" sqref="I21"/>
    </sheetView>
  </sheetViews>
  <sheetFormatPr defaultRowHeight="14.4" x14ac:dyDescent="0.3"/>
  <cols>
    <col min="1" max="1" width="51.44140625" style="2" bestFit="1" customWidth="1"/>
    <col min="2" max="2" width="23.77734375" style="2" bestFit="1" customWidth="1"/>
    <col min="3" max="16384" width="8.88671875" style="2"/>
  </cols>
  <sheetData>
    <row r="3" spans="1:2" x14ac:dyDescent="0.3">
      <c r="A3" s="5" t="s">
        <v>25</v>
      </c>
      <c r="B3" s="2" t="s">
        <v>30</v>
      </c>
    </row>
    <row r="4" spans="1:2" x14ac:dyDescent="0.3">
      <c r="A4" s="2" t="s">
        <v>33</v>
      </c>
      <c r="B4" s="2">
        <v>5.5</v>
      </c>
    </row>
    <row r="5" spans="1:2" x14ac:dyDescent="0.3">
      <c r="A5" s="2" t="s">
        <v>32</v>
      </c>
      <c r="B5" s="2">
        <v>2</v>
      </c>
    </row>
    <row r="6" spans="1:2" x14ac:dyDescent="0.3">
      <c r="A6" s="2" t="s">
        <v>31</v>
      </c>
      <c r="B6" s="2">
        <v>0.25</v>
      </c>
    </row>
    <row r="7" spans="1:2" x14ac:dyDescent="0.3">
      <c r="A7" s="2" t="s">
        <v>26</v>
      </c>
      <c r="B7" s="2">
        <v>2.7</v>
      </c>
    </row>
    <row r="10" spans="1:2" x14ac:dyDescent="0.3">
      <c r="A10" s="1" t="s">
        <v>36</v>
      </c>
      <c r="B10" s="1" t="str">
        <f>_xlfn.XLOOKUP(MAX(B4:B6),B4:B6,A4:A6,)</f>
        <v>New Customer</v>
      </c>
    </row>
    <row r="14" spans="1:2" x14ac:dyDescent="0.3">
      <c r="A14" s="1" t="s">
        <v>39</v>
      </c>
      <c r="B14" s="1">
        <f>VLOOKUP(A4,A4:B6,2,FALSE)</f>
        <v>5.5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93C5-2803-42A9-9D48-A25C8E271602}">
  <sheetPr codeName="Sheet6"/>
  <dimension ref="A3:B15"/>
  <sheetViews>
    <sheetView workbookViewId="0">
      <selection activeCell="M17" sqref="M17"/>
    </sheetView>
  </sheetViews>
  <sheetFormatPr defaultRowHeight="14.4" x14ac:dyDescent="0.3"/>
  <cols>
    <col min="1" max="1" width="37" style="2" bestFit="1" customWidth="1"/>
    <col min="2" max="2" width="16.6640625" style="2" bestFit="1" customWidth="1"/>
    <col min="3" max="16384" width="8.88671875" style="2"/>
  </cols>
  <sheetData>
    <row r="3" spans="1:2" x14ac:dyDescent="0.3">
      <c r="A3" s="5" t="s">
        <v>1</v>
      </c>
      <c r="B3" s="2" t="s">
        <v>35</v>
      </c>
    </row>
    <row r="4" spans="1:2" x14ac:dyDescent="0.3">
      <c r="A4" s="2" t="s">
        <v>16</v>
      </c>
      <c r="B4" s="4">
        <v>1549</v>
      </c>
    </row>
    <row r="5" spans="1:2" x14ac:dyDescent="0.3">
      <c r="A5" s="2" t="s">
        <v>12</v>
      </c>
      <c r="B5" s="4">
        <v>899</v>
      </c>
    </row>
    <row r="6" spans="1:2" x14ac:dyDescent="0.3">
      <c r="A6" s="2" t="s">
        <v>9</v>
      </c>
      <c r="B6" s="4">
        <v>315</v>
      </c>
    </row>
    <row r="7" spans="1:2" x14ac:dyDescent="0.3">
      <c r="A7" s="2" t="s">
        <v>26</v>
      </c>
      <c r="B7" s="4">
        <v>737</v>
      </c>
    </row>
    <row r="10" spans="1:2" x14ac:dyDescent="0.3">
      <c r="A10" s="1" t="s">
        <v>42</v>
      </c>
      <c r="B10" s="1" t="str">
        <f>_xlfn.XLOOKUP(MAX(B4:B6),B4:B6,A4:A6,)</f>
        <v>Family</v>
      </c>
    </row>
    <row r="15" spans="1:2" x14ac:dyDescent="0.3">
      <c r="A15" s="1" t="s">
        <v>43</v>
      </c>
      <c r="B15" s="3">
        <f>VLOOKUP(A4,A4:B6,2,FALSE)</f>
        <v>1549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BDF9-E5DC-4134-A959-274534B85EEC}">
  <sheetPr codeName="Sheet5"/>
  <dimension ref="A3:B13"/>
  <sheetViews>
    <sheetView workbookViewId="0">
      <selection activeCell="H25" sqref="H25"/>
    </sheetView>
  </sheetViews>
  <sheetFormatPr defaultRowHeight="14.4" x14ac:dyDescent="0.3"/>
  <cols>
    <col min="1" max="1" width="38.6640625" style="2" bestFit="1" customWidth="1"/>
    <col min="2" max="2" width="19.6640625" style="2" bestFit="1" customWidth="1"/>
    <col min="3" max="16384" width="8.88671875" style="2"/>
  </cols>
  <sheetData>
    <row r="3" spans="1:2" x14ac:dyDescent="0.3">
      <c r="A3" s="5" t="s">
        <v>7</v>
      </c>
      <c r="B3" s="2" t="s">
        <v>34</v>
      </c>
    </row>
    <row r="4" spans="1:2" x14ac:dyDescent="0.3">
      <c r="A4" s="2" t="s">
        <v>13</v>
      </c>
      <c r="B4" s="2">
        <v>4.5999999999999996</v>
      </c>
    </row>
    <row r="5" spans="1:2" x14ac:dyDescent="0.3">
      <c r="A5" s="2" t="s">
        <v>10</v>
      </c>
      <c r="B5" s="2">
        <v>2.2000000000000002</v>
      </c>
    </row>
    <row r="6" spans="1:2" x14ac:dyDescent="0.3">
      <c r="A6" s="2" t="s">
        <v>26</v>
      </c>
      <c r="B6" s="2">
        <v>3.4</v>
      </c>
    </row>
    <row r="9" spans="1:2" x14ac:dyDescent="0.3">
      <c r="A9" s="1" t="s">
        <v>40</v>
      </c>
      <c r="B9" s="1" t="str">
        <f>_xlfn.XLOOKUP(MIN(B4:B5),B4:B5,A4:A5,)</f>
        <v>Yes</v>
      </c>
    </row>
    <row r="13" spans="1:2" x14ac:dyDescent="0.3">
      <c r="A13" s="1" t="s">
        <v>41</v>
      </c>
      <c r="B13" s="1">
        <f>VLOOKUP(A5,A4:B5,2,FALSE)</f>
        <v>2.2000000000000002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2C7B-2C05-4809-A435-D25DC9A99465}">
  <sheetPr codeName="Sheet1"/>
  <dimension ref="A1:K11"/>
  <sheetViews>
    <sheetView tabSelected="1" workbookViewId="0">
      <selection activeCell="F21" sqref="F21"/>
    </sheetView>
  </sheetViews>
  <sheetFormatPr defaultRowHeight="14.4" x14ac:dyDescent="0.3"/>
  <cols>
    <col min="1" max="1" width="10.88671875" style="2" bestFit="1" customWidth="1"/>
    <col min="2" max="2" width="8.77734375" style="2" bestFit="1" customWidth="1"/>
    <col min="3" max="3" width="11.5546875" style="4" bestFit="1" customWidth="1"/>
    <col min="4" max="4" width="13.44140625" style="2" bestFit="1" customWidth="1"/>
    <col min="5" max="5" width="17.77734375" style="2" bestFit="1" customWidth="1"/>
    <col min="6" max="6" width="13.6640625" style="2" bestFit="1" customWidth="1"/>
    <col min="7" max="7" width="14.5546875" style="2" bestFit="1" customWidth="1"/>
    <col min="8" max="8" width="8.21875" style="2" bestFit="1" customWidth="1"/>
    <col min="9" max="9" width="9.44140625" style="2" bestFit="1" customWidth="1"/>
    <col min="10" max="10" width="17.44140625" style="2" bestFit="1" customWidth="1"/>
    <col min="11" max="11" width="17.21875" style="2" bestFit="1" customWidth="1"/>
    <col min="12" max="16384" width="8.88671875" style="2"/>
  </cols>
  <sheetData>
    <row r="1" spans="1:11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23</v>
      </c>
      <c r="J1" s="1" t="s">
        <v>24</v>
      </c>
      <c r="K1" s="1" t="s">
        <v>25</v>
      </c>
    </row>
    <row r="2" spans="1:11" x14ac:dyDescent="0.3">
      <c r="A2" s="2" t="s">
        <v>8</v>
      </c>
      <c r="B2" s="2" t="s">
        <v>9</v>
      </c>
      <c r="C2" s="4">
        <v>299</v>
      </c>
      <c r="D2" s="2">
        <v>18</v>
      </c>
      <c r="E2" s="2">
        <v>5</v>
      </c>
      <c r="F2" s="2">
        <v>2</v>
      </c>
      <c r="G2" s="2">
        <v>8</v>
      </c>
      <c r="H2" s="2" t="s">
        <v>10</v>
      </c>
      <c r="I2" s="2">
        <f>IF(H2="Yes",1,0)</f>
        <v>1</v>
      </c>
      <c r="J2" s="2" t="str">
        <f>IF(E2&lt;=1,"Low Complaints",IF(E2&lt;=4,"Medium Complaints","High Complaints"))</f>
        <v>High Complaints</v>
      </c>
      <c r="K2" s="2" t="str">
        <f>IF(G2&lt;12,"New Customer",IF(G2&lt;36,"Mid-term Customer","Loyal Customer"))</f>
        <v>New Customer</v>
      </c>
    </row>
    <row r="3" spans="1:11" x14ac:dyDescent="0.3">
      <c r="A3" s="2" t="s">
        <v>11</v>
      </c>
      <c r="B3" s="2" t="s">
        <v>12</v>
      </c>
      <c r="C3" s="4">
        <v>899</v>
      </c>
      <c r="D3" s="2">
        <v>120</v>
      </c>
      <c r="E3" s="2">
        <v>0</v>
      </c>
      <c r="F3" s="2">
        <v>5</v>
      </c>
      <c r="G3" s="2">
        <v>36</v>
      </c>
      <c r="H3" s="2" t="s">
        <v>13</v>
      </c>
      <c r="I3" s="2">
        <f t="shared" ref="I3:I11" si="0">IF(H3="Yes",1,0)</f>
        <v>0</v>
      </c>
      <c r="J3" s="2" t="str">
        <f t="shared" ref="J3:J11" si="1">IF(E3&lt;=1,"Low Complaints",IF(E3&lt;=4,"Medium Complaints","High Complaints"))</f>
        <v>Low Complaints</v>
      </c>
      <c r="K3" s="2" t="str">
        <f t="shared" ref="K3:K11" si="2">IF(G3&lt;12,"New Customer",IF(G3&lt;36,"Mid-term Customer","Loyal Customer"))</f>
        <v>Loyal Customer</v>
      </c>
    </row>
    <row r="4" spans="1:11" x14ac:dyDescent="0.3">
      <c r="A4" s="2" t="s">
        <v>14</v>
      </c>
      <c r="B4" s="2" t="s">
        <v>9</v>
      </c>
      <c r="C4" s="4">
        <v>399</v>
      </c>
      <c r="D4" s="2">
        <v>25</v>
      </c>
      <c r="E4" s="2">
        <v>3</v>
      </c>
      <c r="F4" s="2">
        <v>3</v>
      </c>
      <c r="G4" s="2">
        <v>14</v>
      </c>
      <c r="H4" s="2" t="s">
        <v>10</v>
      </c>
      <c r="I4" s="2">
        <f t="shared" si="0"/>
        <v>1</v>
      </c>
      <c r="J4" s="2" t="str">
        <f t="shared" si="1"/>
        <v>Medium Complaints</v>
      </c>
      <c r="K4" s="2" t="str">
        <f t="shared" si="2"/>
        <v>Mid-term Customer</v>
      </c>
    </row>
    <row r="5" spans="1:11" x14ac:dyDescent="0.3">
      <c r="A5" s="2" t="s">
        <v>15</v>
      </c>
      <c r="B5" s="2" t="s">
        <v>16</v>
      </c>
      <c r="C5" s="4">
        <v>1499</v>
      </c>
      <c r="D5" s="2">
        <v>210</v>
      </c>
      <c r="E5" s="2">
        <v>1</v>
      </c>
      <c r="F5" s="2">
        <v>4</v>
      </c>
      <c r="G5" s="2">
        <v>48</v>
      </c>
      <c r="H5" s="2" t="s">
        <v>13</v>
      </c>
      <c r="I5" s="2">
        <f t="shared" si="0"/>
        <v>0</v>
      </c>
      <c r="J5" s="2" t="str">
        <f t="shared" si="1"/>
        <v>Low Complaints</v>
      </c>
      <c r="K5" s="2" t="str">
        <f t="shared" si="2"/>
        <v>Loyal Customer</v>
      </c>
    </row>
    <row r="6" spans="1:11" x14ac:dyDescent="0.3">
      <c r="A6" s="2" t="s">
        <v>17</v>
      </c>
      <c r="B6" s="2" t="s">
        <v>9</v>
      </c>
      <c r="C6" s="4">
        <v>249</v>
      </c>
      <c r="D6" s="2">
        <v>12</v>
      </c>
      <c r="E6" s="2">
        <v>6</v>
      </c>
      <c r="F6" s="2">
        <v>2</v>
      </c>
      <c r="G6" s="2">
        <v>6</v>
      </c>
      <c r="H6" s="2" t="s">
        <v>10</v>
      </c>
      <c r="I6" s="2">
        <f t="shared" si="0"/>
        <v>1</v>
      </c>
      <c r="J6" s="2" t="str">
        <f t="shared" si="1"/>
        <v>High Complaints</v>
      </c>
      <c r="K6" s="2" t="str">
        <f t="shared" si="2"/>
        <v>New Customer</v>
      </c>
    </row>
    <row r="7" spans="1:11" x14ac:dyDescent="0.3">
      <c r="A7" s="2" t="s">
        <v>18</v>
      </c>
      <c r="B7" s="2" t="s">
        <v>12</v>
      </c>
      <c r="C7" s="4">
        <v>799</v>
      </c>
      <c r="D7" s="2">
        <v>95</v>
      </c>
      <c r="E7" s="2">
        <v>1</v>
      </c>
      <c r="F7" s="2">
        <v>4</v>
      </c>
      <c r="G7" s="2">
        <v>28</v>
      </c>
      <c r="H7" s="2" t="s">
        <v>13</v>
      </c>
      <c r="I7" s="2">
        <f t="shared" si="0"/>
        <v>0</v>
      </c>
      <c r="J7" s="2" t="str">
        <f t="shared" si="1"/>
        <v>Low Complaints</v>
      </c>
      <c r="K7" s="2" t="str">
        <f t="shared" si="2"/>
        <v>Mid-term Customer</v>
      </c>
    </row>
    <row r="8" spans="1:11" x14ac:dyDescent="0.3">
      <c r="A8" s="2" t="s">
        <v>19</v>
      </c>
      <c r="B8" s="2" t="s">
        <v>16</v>
      </c>
      <c r="C8" s="4">
        <v>1599</v>
      </c>
      <c r="D8" s="2">
        <v>230</v>
      </c>
      <c r="E8" s="2">
        <v>0</v>
      </c>
      <c r="F8" s="2">
        <v>5</v>
      </c>
      <c r="G8" s="2">
        <v>52</v>
      </c>
      <c r="H8" s="2" t="s">
        <v>13</v>
      </c>
      <c r="I8" s="2">
        <f t="shared" si="0"/>
        <v>0</v>
      </c>
      <c r="J8" s="2" t="str">
        <f t="shared" si="1"/>
        <v>Low Complaints</v>
      </c>
      <c r="K8" s="2" t="str">
        <f t="shared" si="2"/>
        <v>Loyal Customer</v>
      </c>
    </row>
    <row r="9" spans="1:11" x14ac:dyDescent="0.3">
      <c r="A9" s="2" t="s">
        <v>20</v>
      </c>
      <c r="B9" s="2" t="s">
        <v>9</v>
      </c>
      <c r="C9" s="4">
        <v>349</v>
      </c>
      <c r="D9" s="2">
        <v>20</v>
      </c>
      <c r="E9" s="2">
        <v>4</v>
      </c>
      <c r="F9" s="2">
        <v>3</v>
      </c>
      <c r="G9" s="2">
        <v>10</v>
      </c>
      <c r="H9" s="2" t="s">
        <v>10</v>
      </c>
      <c r="I9" s="2">
        <f t="shared" si="0"/>
        <v>1</v>
      </c>
      <c r="J9" s="2" t="str">
        <f t="shared" si="1"/>
        <v>Medium Complaints</v>
      </c>
      <c r="K9" s="2" t="str">
        <f t="shared" si="2"/>
        <v>New Customer</v>
      </c>
    </row>
    <row r="10" spans="1:11" x14ac:dyDescent="0.3">
      <c r="A10" s="2" t="s">
        <v>21</v>
      </c>
      <c r="B10" s="2" t="s">
        <v>12</v>
      </c>
      <c r="C10" s="4">
        <v>999</v>
      </c>
      <c r="D10" s="2">
        <v>140</v>
      </c>
      <c r="E10" s="2">
        <v>0</v>
      </c>
      <c r="F10" s="2">
        <v>5</v>
      </c>
      <c r="G10" s="2">
        <v>40</v>
      </c>
      <c r="H10" s="2" t="s">
        <v>13</v>
      </c>
      <c r="I10" s="2">
        <f t="shared" si="0"/>
        <v>0</v>
      </c>
      <c r="J10" s="2" t="str">
        <f t="shared" si="1"/>
        <v>Low Complaints</v>
      </c>
      <c r="K10" s="2" t="str">
        <f t="shared" si="2"/>
        <v>Loyal Customer</v>
      </c>
    </row>
    <row r="11" spans="1:11" x14ac:dyDescent="0.3">
      <c r="A11" s="2" t="s">
        <v>22</v>
      </c>
      <c r="B11" s="2" t="s">
        <v>9</v>
      </c>
      <c r="C11" s="4">
        <v>279</v>
      </c>
      <c r="D11" s="2">
        <v>15</v>
      </c>
      <c r="E11" s="2">
        <v>7</v>
      </c>
      <c r="F11" s="2">
        <v>1</v>
      </c>
      <c r="G11" s="2">
        <v>5</v>
      </c>
      <c r="H11" s="2" t="s">
        <v>10</v>
      </c>
      <c r="I11" s="2">
        <f t="shared" si="0"/>
        <v>1</v>
      </c>
      <c r="J11" s="2" t="str">
        <f t="shared" si="1"/>
        <v>High Complaints</v>
      </c>
      <c r="K11" s="2" t="str">
        <f t="shared" si="2"/>
        <v>New Customer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Churn rate by PlanType</vt:lpstr>
      <vt:lpstr>Complaints rate by Churned</vt:lpstr>
      <vt:lpstr>Avg DataUsage by CustomerSegmen</vt:lpstr>
      <vt:lpstr>Avg MonthlyBill by PlanType</vt:lpstr>
      <vt:lpstr>Network rating by Churned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Swaroopa B</dc:creator>
  <cp:lastModifiedBy>Swaroopa B</cp:lastModifiedBy>
  <dcterms:created xsi:type="dcterms:W3CDTF">2026-05-27T16:02:14Z</dcterms:created>
  <dcterms:modified xsi:type="dcterms:W3CDTF">2026-06-01T18:27:31Z</dcterms:modified>
</cp:coreProperties>
</file>