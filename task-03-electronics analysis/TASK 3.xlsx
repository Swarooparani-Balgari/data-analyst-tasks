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TASKS\TASK 3\"/>
    </mc:Choice>
  </mc:AlternateContent>
  <xr:revisionPtr revIDLastSave="0" documentId="13_ncr:1_{84A6F18C-E07A-41C3-9A27-F82E3A8840FF}" xr6:coauthVersionLast="47" xr6:coauthVersionMax="47" xr10:uidLastSave="{00000000-0000-0000-0000-000000000000}"/>
  <bookViews>
    <workbookView xWindow="-108" yWindow="-108" windowWidth="23256" windowHeight="12456" firstSheet="3" activeTab="6" xr2:uid="{1C9E8789-5C38-4D87-AEE5-F3B6F48B5297}"/>
  </bookViews>
  <sheets>
    <sheet name="Revenue by Region" sheetId="2" r:id="rId1"/>
    <sheet name="Revenue by Product" sheetId="5" r:id="rId2"/>
    <sheet name="Revenue by ProductCategory" sheetId="3" r:id="rId3"/>
    <sheet name="Avg ShippingDays by Region" sheetId="4" r:id="rId4"/>
    <sheet name="Quantity by Product" sheetId="6" r:id="rId5"/>
    <sheet name="Revenue by OrderDate" sheetId="7" r:id="rId6"/>
    <sheet name="Dataset" sheetId="1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7" l="1"/>
  <c r="B14" i="6"/>
  <c r="B14" i="5"/>
  <c r="B10" i="3"/>
  <c r="B11" i="4"/>
  <c r="B11" i="2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<sst xmlns="http://schemas.openxmlformats.org/spreadsheetml/2006/main" count="91" uniqueCount="36">
  <si>
    <t>OrderID</t>
  </si>
  <si>
    <t>OrderDate</t>
  </si>
  <si>
    <t>Region</t>
  </si>
  <si>
    <t>ProductCategory</t>
  </si>
  <si>
    <t>Product</t>
  </si>
  <si>
    <t>Quantity</t>
  </si>
  <si>
    <t>UnitPrice</t>
  </si>
  <si>
    <t>DiscountPercent</t>
  </si>
  <si>
    <t>ShippingDays</t>
  </si>
  <si>
    <t>North</t>
  </si>
  <si>
    <t>Mobile</t>
  </si>
  <si>
    <t>Smartphone A</t>
  </si>
  <si>
    <t>West</t>
  </si>
  <si>
    <t>Laptop</t>
  </si>
  <si>
    <t>Laptop X</t>
  </si>
  <si>
    <t>South</t>
  </si>
  <si>
    <t>Accessories</t>
  </si>
  <si>
    <t>Earbuds</t>
  </si>
  <si>
    <t>East</t>
  </si>
  <si>
    <t>Smartphone B</t>
  </si>
  <si>
    <t>Laptop Y</t>
  </si>
  <si>
    <t>Power Bank</t>
  </si>
  <si>
    <t>Charger</t>
  </si>
  <si>
    <t>DiscountAmount</t>
  </si>
  <si>
    <t>FinalPrice</t>
  </si>
  <si>
    <t>Revenue</t>
  </si>
  <si>
    <t>Grand Total</t>
  </si>
  <si>
    <t>Sum of Revenue</t>
  </si>
  <si>
    <t>Avg of ShippingDays</t>
  </si>
  <si>
    <t>Most Profitable Category</t>
  </si>
  <si>
    <t>Best Performing Region</t>
  </si>
  <si>
    <t>Most Profitable Product</t>
  </si>
  <si>
    <t>Sum of Quantity</t>
  </si>
  <si>
    <t>Less consumed Product</t>
  </si>
  <si>
    <t>Which day had the lowest revenue</t>
  </si>
  <si>
    <t xml:space="preserve">Region which has lowest avg ShippingDays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</si>
</sst>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pivotButton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3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3.xlsx]Revenue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>
              <a:lumMod val="75000"/>
              <a:alpha val="8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'Revenue by Region'!$B$3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5C-4997-B7A8-DCADC36C9AF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C-4997-B7A8-DCADC36C9AF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  <a:alpha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5C-4997-B7A8-DCADC36C9AF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C-4997-B7A8-DCADC36C9AF0}"/>
              </c:ext>
            </c:extLst>
          </c:dPt>
          <c:cat>
            <c:strRef>
              <c:f>'Revenue by Region'!$A$4:$A$8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'Revenue by Region'!$B$4:$B$8</c:f>
              <c:numCache>
                <c:formatCode>"₹"\ #,##0.00</c:formatCode>
                <c:ptCount val="4"/>
                <c:pt idx="0">
                  <c:v>112920</c:v>
                </c:pt>
                <c:pt idx="1">
                  <c:v>106400</c:v>
                </c:pt>
                <c:pt idx="2">
                  <c:v>19600</c:v>
                </c:pt>
                <c:pt idx="3">
                  <c:v>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5C-4997-B7A8-DCADC36C9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916944"/>
        <c:axId val="2018915504"/>
      </c:barChart>
      <c:catAx>
        <c:axId val="201891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15504"/>
        <c:crosses val="autoZero"/>
        <c:auto val="1"/>
        <c:lblAlgn val="ctr"/>
        <c:lblOffset val="100"/>
        <c:noMultiLvlLbl val="0"/>
      </c:catAx>
      <c:valAx>
        <c:axId val="20189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91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3.xlsx]Revenue by Product!PivotTable4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</c:pivotFmt>
      <c:pivotFmt>
        <c:idx val="2"/>
        <c:spPr>
          <a:solidFill>
            <a:srgbClr val="002060">
              <a:alpha val="85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002060">
              <a:alpha val="70000"/>
            </a:srgbClr>
          </a:solidFill>
          <a:ln>
            <a:noFill/>
          </a:ln>
          <a:effectLst/>
        </c:spPr>
      </c:pivotFmt>
      <c:pivotFmt>
        <c:idx val="4"/>
        <c:spPr>
          <a:solidFill>
            <a:srgbClr val="002060">
              <a:alpha val="60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002060">
              <a:alpha val="50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002060">
              <a:alpha val="35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2060">
              <a:alpha val="30000"/>
            </a:srgb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2060">
                  <a:alpha val="3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277-476C-9699-BAC5518D9975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>
                  <a:alpha val="3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77-476C-9699-BAC5518D9975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277-476C-9699-BAC5518D9975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277-476C-9699-BAC5518D9975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277-476C-9699-BAC5518D9975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>
                  <a:alpha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77-476C-9699-BAC5518D9975}"/>
              </c:ext>
            </c:extLst>
          </c:dPt>
          <c:dPt>
            <c:idx val="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77-476C-9699-BAC5518D9975}"/>
              </c:ext>
            </c:extLst>
          </c:dPt>
          <c:cat>
            <c:strRef>
              <c:f>'Revenue by Product'!$A$4:$A$11</c:f>
              <c:strCache>
                <c:ptCount val="7"/>
                <c:pt idx="0">
                  <c:v>Power Bank</c:v>
                </c:pt>
                <c:pt idx="1">
                  <c:v>Charger</c:v>
                </c:pt>
                <c:pt idx="2">
                  <c:v>Earbuds</c:v>
                </c:pt>
                <c:pt idx="3">
                  <c:v>Smartphone A</c:v>
                </c:pt>
                <c:pt idx="4">
                  <c:v>Smartphone B</c:v>
                </c:pt>
                <c:pt idx="5">
                  <c:v>Laptop Y</c:v>
                </c:pt>
                <c:pt idx="6">
                  <c:v>Laptop X</c:v>
                </c:pt>
              </c:strCache>
            </c:strRef>
          </c:cat>
          <c:val>
            <c:numRef>
              <c:f>'Revenue by Product'!$B$4:$B$11</c:f>
              <c:numCache>
                <c:formatCode>"₹"\ #,##0.00</c:formatCode>
                <c:ptCount val="7"/>
                <c:pt idx="0">
                  <c:v>3000</c:v>
                </c:pt>
                <c:pt idx="1">
                  <c:v>3040</c:v>
                </c:pt>
                <c:pt idx="2">
                  <c:v>5100</c:v>
                </c:pt>
                <c:pt idx="3">
                  <c:v>40500</c:v>
                </c:pt>
                <c:pt idx="4">
                  <c:v>49680</c:v>
                </c:pt>
                <c:pt idx="5">
                  <c:v>52800</c:v>
                </c:pt>
                <c:pt idx="6">
                  <c:v>103400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76C-9699-BAC5518D9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22297872"/>
        <c:axId val="1960232352"/>
      </c:barChart>
      <c:valAx>
        <c:axId val="196023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97872"/>
        <c:crosses val="autoZero"/>
        <c:crossBetween val="between"/>
      </c:valAx>
      <c:catAx>
        <c:axId val="202229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232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3.xlsx]Revenue by ProductCategory!PivotTable2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ProductCategory'!$B$3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9A3-437D-84E9-6D5EE8C3B1CA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A3-437D-84E9-6D5EE8C3B1CA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9A3-437D-84E9-6D5EE8C3B1CA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ProductCategory'!$A$4:$A$7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Accessories</c:v>
                </c:pt>
              </c:strCache>
            </c:strRef>
          </c:cat>
          <c:val>
            <c:numRef>
              <c:f>'Revenue by ProductCategory'!$B$4:$B$7</c:f>
              <c:numCache>
                <c:formatCode>"₹"\ #,##0.00</c:formatCode>
                <c:ptCount val="3"/>
                <c:pt idx="0">
                  <c:v>156200</c:v>
                </c:pt>
                <c:pt idx="1">
                  <c:v>90180</c:v>
                </c:pt>
                <c:pt idx="2">
                  <c:v>11140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3-437D-84E9-6D5EE8C3B1C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3.xlsx]Avg ShippingDays by 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ShippingDays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2">
                <a:lumMod val="1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ShippingDays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1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ShippingDays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'Avg ShippingDays by Region'!$B$4:$B$8</c:f>
              <c:numCache>
                <c:formatCode>0.00</c:formatCode>
                <c:ptCount val="4"/>
                <c:pt idx="0">
                  <c:v>4.333333333333333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E-474E-A3A5-16DDD871B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848384"/>
        <c:axId val="2079850784"/>
      </c:lineChart>
      <c:catAx>
        <c:axId val="207984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50784"/>
        <c:crosses val="autoZero"/>
        <c:auto val="1"/>
        <c:lblAlgn val="ctr"/>
        <c:lblOffset val="100"/>
        <c:noMultiLvlLbl val="0"/>
      </c:catAx>
      <c:valAx>
        <c:axId val="207985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4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3.xlsx]Quantity by Product!PivotTable5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</c:pivotFmt>
      <c:pivotFmt>
        <c:idx val="2"/>
        <c:spPr>
          <a:solidFill>
            <a:srgbClr val="002060">
              <a:alpha val="85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002060">
              <a:alpha val="70000"/>
            </a:srgbClr>
          </a:solidFill>
          <a:ln>
            <a:noFill/>
          </a:ln>
          <a:effectLst/>
        </c:spPr>
      </c:pivotFmt>
      <c:pivotFmt>
        <c:idx val="4"/>
        <c:spPr>
          <a:solidFill>
            <a:srgbClr val="002060">
              <a:alpha val="60000"/>
            </a:srgbClr>
          </a:solidFill>
          <a:ln>
            <a:noFill/>
          </a:ln>
          <a:effectLst/>
        </c:spPr>
      </c:pivotFmt>
      <c:pivotFmt>
        <c:idx val="5"/>
        <c:spPr>
          <a:solidFill>
            <a:srgbClr val="002060">
              <a:alpha val="50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002060">
              <a:alpha val="4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2060">
              <a:alpha val="30000"/>
            </a:srgb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'Quantity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A3-4EBA-A42E-67FA11948D74}"/>
              </c:ext>
            </c:extLst>
          </c:dPt>
          <c:dPt>
            <c:idx val="1"/>
            <c:bubble3D val="0"/>
            <c:spPr>
              <a:solidFill>
                <a:srgbClr val="002060">
                  <a:alpha val="8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A3-4EBA-A42E-67FA11948D74}"/>
              </c:ext>
            </c:extLst>
          </c:dPt>
          <c:dPt>
            <c:idx val="2"/>
            <c:bubble3D val="0"/>
            <c:spPr>
              <a:solidFill>
                <a:srgbClr val="002060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A3-4EBA-A42E-67FA11948D74}"/>
              </c:ext>
            </c:extLst>
          </c:dPt>
          <c:dPt>
            <c:idx val="3"/>
            <c:bubble3D val="0"/>
            <c:spPr>
              <a:solidFill>
                <a:srgbClr val="002060">
                  <a:alpha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A3-4EBA-A42E-67FA11948D74}"/>
              </c:ext>
            </c:extLst>
          </c:dPt>
          <c:dPt>
            <c:idx val="4"/>
            <c:bubble3D val="0"/>
            <c:spPr>
              <a:solidFill>
                <a:srgbClr val="002060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A3-4EBA-A42E-67FA11948D74}"/>
              </c:ext>
            </c:extLst>
          </c:dPt>
          <c:dPt>
            <c:idx val="5"/>
            <c:bubble3D val="0"/>
            <c:spPr>
              <a:solidFill>
                <a:srgbClr val="002060">
                  <a:alpha val="4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A3-4EBA-A42E-67FA11948D74}"/>
              </c:ext>
            </c:extLst>
          </c:dPt>
          <c:dPt>
            <c:idx val="6"/>
            <c:bubble3D val="0"/>
            <c:spPr>
              <a:solidFill>
                <a:srgbClr val="002060">
                  <a:alpha val="3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3A3-4EBA-A42E-67FA11948D74}"/>
              </c:ext>
            </c:extLst>
          </c:dPt>
          <c:cat>
            <c:strRef>
              <c:f>'Quantity by Product'!$A$4:$A$11</c:f>
              <c:strCache>
                <c:ptCount val="7"/>
                <c:pt idx="0">
                  <c:v>Charger</c:v>
                </c:pt>
                <c:pt idx="1">
                  <c:v>Smartphone A</c:v>
                </c:pt>
                <c:pt idx="2">
                  <c:v>Earbuds</c:v>
                </c:pt>
                <c:pt idx="3">
                  <c:v>Smartphone B</c:v>
                </c:pt>
                <c:pt idx="4">
                  <c:v>Power Bank</c:v>
                </c:pt>
                <c:pt idx="5">
                  <c:v>Laptop X</c:v>
                </c:pt>
                <c:pt idx="6">
                  <c:v>Laptop Y</c:v>
                </c:pt>
              </c:strCache>
            </c:strRef>
          </c:cat>
          <c:val>
            <c:numRef>
              <c:f>'Quantity by Product'!$B$4:$B$11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3-4EBA-A42E-67FA11948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3.xlsx]Revenue by OrderDate!PivotTable6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OrderDate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95000"/>
                <a:lumOff val="5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OrderDate'!$B$3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'Revenue by OrderDate'!$A$4:$A$8</c:f>
              <c:strCache>
                <c:ptCount val="4"/>
                <c:pt idx="0">
                  <c:v>08-04-2026</c:v>
                </c:pt>
                <c:pt idx="1">
                  <c:v>09-04-2026</c:v>
                </c:pt>
                <c:pt idx="2">
                  <c:v>10-04-2026</c:v>
                </c:pt>
                <c:pt idx="3">
                  <c:v>11-04-2026</c:v>
                </c:pt>
              </c:strCache>
            </c:strRef>
          </c:cat>
          <c:val>
            <c:numRef>
              <c:f>'Revenue by OrderDate'!$B$4:$B$8</c:f>
              <c:numCache>
                <c:formatCode>"₹"\ #,##0.00</c:formatCode>
                <c:ptCount val="4"/>
                <c:pt idx="0">
                  <c:v>79250</c:v>
                </c:pt>
                <c:pt idx="1">
                  <c:v>74460</c:v>
                </c:pt>
                <c:pt idx="2">
                  <c:v>19540</c:v>
                </c:pt>
                <c:pt idx="3">
                  <c:v>84270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6-4D4A-85A1-FB1036F14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1284400"/>
        <c:axId val="2071283440"/>
      </c:lineChart>
      <c:catAx>
        <c:axId val="207128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83440"/>
        <c:crosses val="autoZero"/>
        <c:auto val="1"/>
        <c:lblAlgn val="ctr"/>
        <c:lblOffset val="100"/>
        <c:noMultiLvlLbl val="0"/>
      </c:catAx>
      <c:valAx>
        <c:axId val="207128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28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7030A0">
        <a:alpha val="30000"/>
      </a:srgbClr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179070</xdr:rowOff>
    </xdr:from>
    <xdr:to>
      <xdr:col>13</xdr:col>
      <xdr:colOff>15240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F4DD4-5CE7-D6B5-9195-C161D6EB9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</xdr:rowOff>
    </xdr:from>
    <xdr:to>
      <xdr:col>13</xdr:col>
      <xdr:colOff>22860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92C97-5EF2-D954-DCA7-AAC836CC0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3</xdr:row>
      <xdr:rowOff>3810</xdr:rowOff>
    </xdr:from>
    <xdr:to>
      <xdr:col>10</xdr:col>
      <xdr:colOff>198120</xdr:colOff>
      <xdr:row>20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135FD7-6B57-28AE-E91C-37ACE38E0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171450</xdr:rowOff>
    </xdr:from>
    <xdr:to>
      <xdr:col>11</xdr:col>
      <xdr:colOff>601980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8E4C1-601C-381F-7355-4FD6A5465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41910</xdr:rowOff>
    </xdr:from>
    <xdr:to>
      <xdr:col>11</xdr:col>
      <xdr:colOff>30480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DC666-C1FD-AB72-F65E-9EF86194E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148590</xdr:rowOff>
    </xdr:from>
    <xdr:to>
      <xdr:col>12</xdr:col>
      <xdr:colOff>594360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F4A0E-7F0C-5386-1080-A2B0BF5F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3.661548263888" createdVersion="8" refreshedVersion="8" minRefreshableVersion="3" recordCount="10" xr:uid="{49EFD8AE-7DD7-4A3A-B6BC-F840A03FBFDB}">
  <cacheSource type="worksheet">
    <worksheetSource ref="A1:L11" sheet="Dataset"/>
  </cacheSource>
  <cacheFields count="12">
    <cacheField name="OrderID" numFmtId="0">
      <sharedItems containsSemiMixedTypes="0" containsString="0" containsNumber="1" containsInteger="1" minValue="10001" maxValue="10010"/>
    </cacheField>
    <cacheField name="OrderDate" numFmtId="14">
      <sharedItems containsSemiMixedTypes="0" containsNonDate="0" containsDate="1" containsString="0" minDate="2026-04-08T00:00:00" maxDate="2026-04-12T00:00:00" count="4">
        <d v="2026-04-08T00:00:00"/>
        <d v="2026-04-09T00:00:00"/>
        <d v="2026-04-10T00:00:00"/>
        <d v="2026-04-11T00:00:00"/>
      </sharedItems>
    </cacheField>
    <cacheField name="Region" numFmtId="0">
      <sharedItems count="4">
        <s v="North"/>
        <s v="West"/>
        <s v="South"/>
        <s v="East"/>
      </sharedItems>
    </cacheField>
    <cacheField name="ProductCategory" numFmtId="0">
      <sharedItems count="3">
        <s v="Mobile"/>
        <s v="Laptop"/>
        <s v="Accessories"/>
      </sharedItems>
    </cacheField>
    <cacheField name="Product" numFmtId="0">
      <sharedItems count="7">
        <s v="Smartphone A"/>
        <s v="Laptop X"/>
        <s v="Earbuds"/>
        <s v="Smartphone B"/>
        <s v="Laptop Y"/>
        <s v="Power Bank"/>
        <s v="Charger"/>
      </sharedItems>
    </cacheField>
    <cacheField name="Quantity" numFmtId="0">
      <sharedItems containsSemiMixedTypes="0" containsString="0" containsNumber="1" containsInteger="1" minValue="1" maxValue="4"/>
    </cacheField>
    <cacheField name="UnitPrice" numFmtId="164">
      <sharedItems containsSemiMixedTypes="0" containsString="0" containsNumber="1" containsInteger="1" minValue="800" maxValue="60000"/>
    </cacheField>
    <cacheField name="DiscountPercent" numFmtId="0">
      <sharedItems containsSemiMixedTypes="0" containsString="0" containsNumber="1" containsInteger="1" minValue="0" maxValue="15"/>
    </cacheField>
    <cacheField name="ShippingDays" numFmtId="0">
      <sharedItems containsSemiMixedTypes="0" containsString="0" containsNumber="1" containsInteger="1" minValue="2" maxValue="6"/>
    </cacheField>
    <cacheField name="DiscountAmount" numFmtId="164">
      <sharedItems containsSemiMixedTypes="0" containsString="0" containsNumber="1" containsInteger="1" minValue="0" maxValue="7200"/>
    </cacheField>
    <cacheField name="FinalPrice" numFmtId="164">
      <sharedItems containsSemiMixedTypes="0" containsString="0" containsNumber="1" containsInteger="1" minValue="760" maxValue="52800"/>
    </cacheField>
    <cacheField name="Revenue" numFmtId="164">
      <sharedItems containsSemiMixedTypes="0" containsString="0" containsNumber="1" containsInteger="1" minValue="3000" maxValue="5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01"/>
    <x v="0"/>
    <x v="0"/>
    <x v="0"/>
    <x v="0"/>
    <n v="2"/>
    <n v="15000"/>
    <n v="10"/>
    <n v="3"/>
    <n v="1500"/>
    <n v="13500"/>
    <n v="27000"/>
  </r>
  <r>
    <n v="10002"/>
    <x v="0"/>
    <x v="1"/>
    <x v="1"/>
    <x v="1"/>
    <n v="1"/>
    <n v="55000"/>
    <n v="5"/>
    <n v="5"/>
    <n v="2750"/>
    <n v="52250"/>
    <n v="52250"/>
  </r>
  <r>
    <n v="10003"/>
    <x v="1"/>
    <x v="2"/>
    <x v="2"/>
    <x v="2"/>
    <n v="3"/>
    <n v="2000"/>
    <n v="15"/>
    <n v="2"/>
    <n v="300"/>
    <n v="1700"/>
    <n v="5100"/>
  </r>
  <r>
    <n v="10004"/>
    <x v="1"/>
    <x v="3"/>
    <x v="0"/>
    <x v="3"/>
    <n v="1"/>
    <n v="18000"/>
    <n v="8"/>
    <n v="4"/>
    <n v="1440"/>
    <n v="16560"/>
    <n v="16560"/>
  </r>
  <r>
    <n v="10005"/>
    <x v="1"/>
    <x v="0"/>
    <x v="1"/>
    <x v="4"/>
    <n v="1"/>
    <n v="60000"/>
    <n v="12"/>
    <n v="6"/>
    <n v="7200"/>
    <n v="52800"/>
    <n v="52800"/>
  </r>
  <r>
    <n v="10006"/>
    <x v="2"/>
    <x v="1"/>
    <x v="2"/>
    <x v="5"/>
    <n v="2"/>
    <n v="1500"/>
    <n v="0"/>
    <n v="3"/>
    <n v="0"/>
    <n v="1500"/>
    <n v="3000"/>
  </r>
  <r>
    <n v="10007"/>
    <x v="2"/>
    <x v="2"/>
    <x v="0"/>
    <x v="0"/>
    <n v="1"/>
    <n v="15000"/>
    <n v="10"/>
    <n v="2"/>
    <n v="1500"/>
    <n v="13500"/>
    <n v="13500"/>
  </r>
  <r>
    <n v="10008"/>
    <x v="2"/>
    <x v="3"/>
    <x v="2"/>
    <x v="6"/>
    <n v="4"/>
    <n v="800"/>
    <n v="5"/>
    <n v="4"/>
    <n v="40"/>
    <n v="760"/>
    <n v="3040"/>
  </r>
  <r>
    <n v="10009"/>
    <x v="3"/>
    <x v="0"/>
    <x v="0"/>
    <x v="3"/>
    <n v="2"/>
    <n v="18000"/>
    <n v="8"/>
    <n v="3"/>
    <n v="1440"/>
    <n v="16560"/>
    <n v="33120"/>
  </r>
  <r>
    <n v="10010"/>
    <x v="3"/>
    <x v="1"/>
    <x v="1"/>
    <x v="1"/>
    <n v="1"/>
    <n v="55000"/>
    <n v="7"/>
    <n v="5"/>
    <n v="3850"/>
    <n v="51150"/>
    <n v="51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15257-8A83-4FBC-8E38-A53FAE3CF7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A3:B8" firstHeaderRow="1" firstDataRow="1" firstDataCol="1"/>
  <pivotFields count="12">
    <pivotField showAll="0"/>
    <pivotField numFmtId="14"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2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Revenue" fld="11" baseField="0" baseItem="0" numFmtId="164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6F8793-C8AB-48E3-8093-028DDF4AD5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A3:B11" firstHeaderRow="1" firstDataRow="1" firstDataCol="1"/>
  <pivotFields count="12">
    <pivotField showAll="0"/>
    <pivotField numFmtId="14" showAll="0"/>
    <pivotField showAll="0"/>
    <pivotField showAll="0"/>
    <pivotField axis="axisRow" showAll="0" sortType="ascending">
      <items count="8">
        <item x="6"/>
        <item x="2"/>
        <item x="1"/>
        <item x="4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8">
    <i>
      <x v="4"/>
    </i>
    <i>
      <x/>
    </i>
    <i>
      <x v="1"/>
    </i>
    <i>
      <x v="5"/>
    </i>
    <i>
      <x v="6"/>
    </i>
    <i>
      <x v="3"/>
    </i>
    <i>
      <x v="2"/>
    </i>
    <i t="grand">
      <x/>
    </i>
  </rowItems>
  <colItems count="1">
    <i/>
  </colItems>
  <dataFields count="1">
    <dataField name="Sum of Revenue" fld="11" baseField="0" baseItem="0" numFmtId="164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65382-D7ED-41C3-8F57-9E1DCAD4E2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uctCategory">
  <location ref="A3:B7" firstHeaderRow="1" firstDataRow="1" firstDataCol="1"/>
  <pivotFields count="12">
    <pivotField showAll="0"/>
    <pivotField numFmtId="14"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Revenue" fld="11" baseField="0" baseItem="0" numFmtId="164"/>
  </dataFields>
  <formats count="5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25533-9E7D-44DF-A09D-B5293B0474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egion">
  <location ref="A3:B8" firstHeaderRow="1" firstDataRow="1" firstDataCol="1"/>
  <pivotFields count="12">
    <pivotField showAll="0"/>
    <pivotField numFmtId="14"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dataField="1" showAll="0"/>
    <pivotField numFmtId="164" showAll="0"/>
    <pivotField numFmtId="164" showAll="0"/>
    <pivotField numFmtId="164" showAll="0"/>
  </pivotFields>
  <rowFields count="1">
    <field x="2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Avg of ShippingDays" fld="8" subtotal="average" baseField="2" baseItem="0" numFmtId="2"/>
  </dataFields>
  <formats count="8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EF793-D59C-42EB-8CCE-695F1500B6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3:B11" firstHeaderRow="1" firstDataRow="1" firstDataCol="1"/>
  <pivotFields count="12">
    <pivotField showAll="0"/>
    <pivotField numFmtId="14" showAll="0"/>
    <pivotField showAll="0"/>
    <pivotField showAll="0"/>
    <pivotField axis="axisRow" showAll="0" sortType="descending">
      <items count="8">
        <item x="6"/>
        <item x="2"/>
        <item x="1"/>
        <item x="4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/>
    <pivotField showAll="0"/>
    <pivotField showAll="0"/>
    <pivotField numFmtId="164" showAll="0"/>
    <pivotField numFmtId="164" showAll="0"/>
    <pivotField numFmtId="164" showAll="0"/>
  </pivotFields>
  <rowFields count="1">
    <field x="4"/>
  </rowFields>
  <rowItems count="8">
    <i>
      <x/>
    </i>
    <i>
      <x v="5"/>
    </i>
    <i>
      <x v="1"/>
    </i>
    <i>
      <x v="6"/>
    </i>
    <i>
      <x v="4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205BE-19FB-4727-B10E-8DE788CA73E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OrderDate">
  <location ref="A3:B8" firstHeaderRow="1" firstDataRow="1" firstDataCol="1"/>
  <pivotFields count="12">
    <pivotField showAll="0"/>
    <pivotField axis="axisRow" numFmtId="14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dataField="1"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E40D-64B6-4D77-83F6-52D91DEE0ED4}">
  <dimension ref="A3:B11"/>
  <sheetViews>
    <sheetView workbookViewId="0">
      <selection activeCell="P16" sqref="P16"/>
    </sheetView>
  </sheetViews>
  <sheetFormatPr defaultRowHeight="14.4" x14ac:dyDescent="0.3"/>
  <cols>
    <col min="1" max="1" width="20.88671875" style="4" bestFit="1" customWidth="1"/>
    <col min="2" max="2" width="14.88671875" style="4" bestFit="1" customWidth="1"/>
    <col min="3" max="16384" width="8.88671875" style="4"/>
  </cols>
  <sheetData>
    <row r="3" spans="1:2" x14ac:dyDescent="0.3">
      <c r="A3" s="13" t="s">
        <v>2</v>
      </c>
      <c r="B3" s="4" t="s">
        <v>27</v>
      </c>
    </row>
    <row r="4" spans="1:2" x14ac:dyDescent="0.3">
      <c r="A4" s="4" t="s">
        <v>9</v>
      </c>
      <c r="B4" s="10">
        <v>112920</v>
      </c>
    </row>
    <row r="5" spans="1:2" x14ac:dyDescent="0.3">
      <c r="A5" s="4" t="s">
        <v>12</v>
      </c>
      <c r="B5" s="10">
        <v>106400</v>
      </c>
    </row>
    <row r="6" spans="1:2" x14ac:dyDescent="0.3">
      <c r="A6" s="4" t="s">
        <v>18</v>
      </c>
      <c r="B6" s="10">
        <v>19600</v>
      </c>
    </row>
    <row r="7" spans="1:2" x14ac:dyDescent="0.3">
      <c r="A7" s="4" t="s">
        <v>15</v>
      </c>
      <c r="B7" s="10">
        <v>18600</v>
      </c>
    </row>
    <row r="8" spans="1:2" x14ac:dyDescent="0.3">
      <c r="A8" s="4" t="s">
        <v>26</v>
      </c>
      <c r="B8" s="10">
        <v>257520</v>
      </c>
    </row>
    <row r="11" spans="1:2" x14ac:dyDescent="0.3">
      <c r="A11" s="5" t="s">
        <v>30</v>
      </c>
      <c r="B11" s="5" t="str">
        <f>_xlfn.XLOOKUP(MAX(B4:B7),B4:B7,A4:A7,,0)</f>
        <v>North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4936-9D56-40A2-AC05-D7228B5CCBB3}">
  <dimension ref="A3:B14"/>
  <sheetViews>
    <sheetView workbookViewId="0">
      <selection activeCell="N22" sqref="N22"/>
    </sheetView>
  </sheetViews>
  <sheetFormatPr defaultRowHeight="14.4" x14ac:dyDescent="0.3"/>
  <cols>
    <col min="1" max="1" width="21.44140625" style="4" bestFit="1" customWidth="1"/>
    <col min="2" max="2" width="14.88671875" style="4" bestFit="1" customWidth="1"/>
    <col min="3" max="16384" width="8.88671875" style="4"/>
  </cols>
  <sheetData>
    <row r="3" spans="1:2" x14ac:dyDescent="0.3">
      <c r="A3" s="13" t="s">
        <v>4</v>
      </c>
      <c r="B3" s="4" t="s">
        <v>27</v>
      </c>
    </row>
    <row r="4" spans="1:2" x14ac:dyDescent="0.3">
      <c r="A4" s="4" t="s">
        <v>21</v>
      </c>
      <c r="B4" s="10">
        <v>3000</v>
      </c>
    </row>
    <row r="5" spans="1:2" x14ac:dyDescent="0.3">
      <c r="A5" s="4" t="s">
        <v>22</v>
      </c>
      <c r="B5" s="10">
        <v>3040</v>
      </c>
    </row>
    <row r="6" spans="1:2" x14ac:dyDescent="0.3">
      <c r="A6" s="4" t="s">
        <v>17</v>
      </c>
      <c r="B6" s="10">
        <v>5100</v>
      </c>
    </row>
    <row r="7" spans="1:2" x14ac:dyDescent="0.3">
      <c r="A7" s="4" t="s">
        <v>11</v>
      </c>
      <c r="B7" s="10">
        <v>40500</v>
      </c>
    </row>
    <row r="8" spans="1:2" x14ac:dyDescent="0.3">
      <c r="A8" s="4" t="s">
        <v>19</v>
      </c>
      <c r="B8" s="10">
        <v>49680</v>
      </c>
    </row>
    <row r="9" spans="1:2" x14ac:dyDescent="0.3">
      <c r="A9" s="4" t="s">
        <v>20</v>
      </c>
      <c r="B9" s="10">
        <v>52800</v>
      </c>
    </row>
    <row r="10" spans="1:2" x14ac:dyDescent="0.3">
      <c r="A10" s="4" t="s">
        <v>14</v>
      </c>
      <c r="B10" s="10">
        <v>103400</v>
      </c>
    </row>
    <row r="11" spans="1:2" x14ac:dyDescent="0.3">
      <c r="A11" s="4" t="s">
        <v>26</v>
      </c>
      <c r="B11" s="10">
        <v>257520</v>
      </c>
    </row>
    <row r="14" spans="1:2" x14ac:dyDescent="0.3">
      <c r="A14" s="5" t="s">
        <v>31</v>
      </c>
      <c r="B14" s="5" t="str">
        <f>_xlfn.XLOOKUP(MAX(B4:B10),B4:B10,A4:A10,,0)</f>
        <v>Laptop X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5ADD-80D2-4248-A375-73FFF3AA134A}">
  <dimension ref="A3:B10"/>
  <sheetViews>
    <sheetView workbookViewId="0">
      <selection activeCell="M11" sqref="M11"/>
    </sheetView>
  </sheetViews>
  <sheetFormatPr defaultRowHeight="14.4" x14ac:dyDescent="0.3"/>
  <cols>
    <col min="1" max="1" width="22.33203125" style="4" bestFit="1" customWidth="1"/>
    <col min="2" max="2" width="14.88671875" style="4" bestFit="1" customWidth="1"/>
    <col min="3" max="16384" width="8.88671875" style="4"/>
  </cols>
  <sheetData>
    <row r="3" spans="1:2" x14ac:dyDescent="0.3">
      <c r="A3" s="13" t="s">
        <v>3</v>
      </c>
      <c r="B3" s="4" t="s">
        <v>27</v>
      </c>
    </row>
    <row r="4" spans="1:2" x14ac:dyDescent="0.3">
      <c r="A4" s="4" t="s">
        <v>13</v>
      </c>
      <c r="B4" s="10">
        <v>156200</v>
      </c>
    </row>
    <row r="5" spans="1:2" x14ac:dyDescent="0.3">
      <c r="A5" s="4" t="s">
        <v>10</v>
      </c>
      <c r="B5" s="10">
        <v>90180</v>
      </c>
    </row>
    <row r="6" spans="1:2" x14ac:dyDescent="0.3">
      <c r="A6" s="4" t="s">
        <v>16</v>
      </c>
      <c r="B6" s="10">
        <v>11140</v>
      </c>
    </row>
    <row r="7" spans="1:2" x14ac:dyDescent="0.3">
      <c r="A7" s="4" t="s">
        <v>26</v>
      </c>
      <c r="B7" s="10">
        <v>257520</v>
      </c>
    </row>
    <row r="10" spans="1:2" x14ac:dyDescent="0.3">
      <c r="A10" s="5" t="s">
        <v>29</v>
      </c>
      <c r="B10" s="5" t="str">
        <f>_xlfn.XLOOKUP(MAX(B4:B6),B4:B6,A4:A6,,0)</f>
        <v>Laptop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FF07-D44F-41CE-9C05-B4E728C58601}">
  <dimension ref="A3:B11"/>
  <sheetViews>
    <sheetView workbookViewId="0">
      <selection activeCell="D20" sqref="D20"/>
    </sheetView>
  </sheetViews>
  <sheetFormatPr defaultRowHeight="14.4" x14ac:dyDescent="0.3"/>
  <cols>
    <col min="1" max="1" width="37.88671875" style="4" bestFit="1" customWidth="1"/>
    <col min="2" max="2" width="18.44140625" style="11" bestFit="1" customWidth="1"/>
    <col min="3" max="16384" width="8.88671875" style="4"/>
  </cols>
  <sheetData>
    <row r="3" spans="1:2" x14ac:dyDescent="0.3">
      <c r="A3" s="13" t="s">
        <v>2</v>
      </c>
      <c r="B3" s="11" t="s">
        <v>28</v>
      </c>
    </row>
    <row r="4" spans="1:2" x14ac:dyDescent="0.3">
      <c r="A4" s="4" t="s">
        <v>12</v>
      </c>
      <c r="B4" s="11">
        <v>4.333333333333333</v>
      </c>
    </row>
    <row r="5" spans="1:2" x14ac:dyDescent="0.3">
      <c r="A5" s="4" t="s">
        <v>18</v>
      </c>
      <c r="B5" s="11">
        <v>4</v>
      </c>
    </row>
    <row r="6" spans="1:2" x14ac:dyDescent="0.3">
      <c r="A6" s="4" t="s">
        <v>9</v>
      </c>
      <c r="B6" s="11">
        <v>4</v>
      </c>
    </row>
    <row r="7" spans="1:2" x14ac:dyDescent="0.3">
      <c r="A7" s="4" t="s">
        <v>15</v>
      </c>
      <c r="B7" s="11">
        <v>2</v>
      </c>
    </row>
    <row r="8" spans="1:2" x14ac:dyDescent="0.3">
      <c r="A8" s="4" t="s">
        <v>26</v>
      </c>
      <c r="B8" s="11">
        <v>3.7</v>
      </c>
    </row>
    <row r="11" spans="1:2" x14ac:dyDescent="0.3">
      <c r="A11" s="5" t="s">
        <v>35</v>
      </c>
      <c r="B11" s="14" t="str">
        <f>_xlfn.XLOOKUP(MIN(B4:B7),B4:B7,A4:A7,,0)</f>
        <v>South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8CBA-740A-4403-BE18-A3B9C291CDD1}">
  <dimension ref="A3:B14"/>
  <sheetViews>
    <sheetView workbookViewId="0">
      <selection activeCell="K23" sqref="K23"/>
    </sheetView>
  </sheetViews>
  <sheetFormatPr defaultRowHeight="14.4" x14ac:dyDescent="0.3"/>
  <cols>
    <col min="1" max="1" width="20.21875" style="4" bestFit="1" customWidth="1"/>
    <col min="2" max="2" width="14.88671875" style="4" bestFit="1" customWidth="1"/>
    <col min="3" max="16384" width="8.88671875" style="4"/>
  </cols>
  <sheetData>
    <row r="3" spans="1:2" x14ac:dyDescent="0.3">
      <c r="A3" s="13" t="s">
        <v>4</v>
      </c>
      <c r="B3" s="4" t="s">
        <v>32</v>
      </c>
    </row>
    <row r="4" spans="1:2" x14ac:dyDescent="0.3">
      <c r="A4" s="4" t="s">
        <v>22</v>
      </c>
      <c r="B4" s="4">
        <v>4</v>
      </c>
    </row>
    <row r="5" spans="1:2" x14ac:dyDescent="0.3">
      <c r="A5" s="4" t="s">
        <v>11</v>
      </c>
      <c r="B5" s="4">
        <v>3</v>
      </c>
    </row>
    <row r="6" spans="1:2" x14ac:dyDescent="0.3">
      <c r="A6" s="4" t="s">
        <v>17</v>
      </c>
      <c r="B6" s="4">
        <v>3</v>
      </c>
    </row>
    <row r="7" spans="1:2" x14ac:dyDescent="0.3">
      <c r="A7" s="4" t="s">
        <v>19</v>
      </c>
      <c r="B7" s="4">
        <v>3</v>
      </c>
    </row>
    <row r="8" spans="1:2" x14ac:dyDescent="0.3">
      <c r="A8" s="4" t="s">
        <v>21</v>
      </c>
      <c r="B8" s="4">
        <v>2</v>
      </c>
    </row>
    <row r="9" spans="1:2" x14ac:dyDescent="0.3">
      <c r="A9" s="4" t="s">
        <v>14</v>
      </c>
      <c r="B9" s="4">
        <v>2</v>
      </c>
    </row>
    <row r="10" spans="1:2" x14ac:dyDescent="0.3">
      <c r="A10" s="4" t="s">
        <v>20</v>
      </c>
      <c r="B10" s="4">
        <v>1</v>
      </c>
    </row>
    <row r="11" spans="1:2" x14ac:dyDescent="0.3">
      <c r="A11" s="4" t="s">
        <v>26</v>
      </c>
      <c r="B11" s="4">
        <v>18</v>
      </c>
    </row>
    <row r="14" spans="1:2" x14ac:dyDescent="0.3">
      <c r="A14" s="5" t="s">
        <v>33</v>
      </c>
      <c r="B14" s="5" t="str">
        <f>_xlfn.XLOOKUP(MIN(B4:B10),B4:B10,A4:A10,,0)</f>
        <v>Laptop Y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A937-7017-4ED6-9EA4-71D750577081}">
  <dimension ref="A3:B11"/>
  <sheetViews>
    <sheetView workbookViewId="0">
      <selection activeCell="N25" sqref="N25"/>
    </sheetView>
  </sheetViews>
  <sheetFormatPr defaultRowHeight="14.4" x14ac:dyDescent="0.3"/>
  <cols>
    <col min="1" max="1" width="29.33203125" style="4" bestFit="1" customWidth="1"/>
    <col min="2" max="2" width="14.88671875" style="4" bestFit="1" customWidth="1"/>
    <col min="3" max="16384" width="8.88671875" style="4"/>
  </cols>
  <sheetData>
    <row r="3" spans="1:2" x14ac:dyDescent="0.3">
      <c r="A3" s="13" t="s">
        <v>1</v>
      </c>
      <c r="B3" s="4" t="s">
        <v>27</v>
      </c>
    </row>
    <row r="4" spans="1:2" x14ac:dyDescent="0.3">
      <c r="A4" s="7">
        <v>46120</v>
      </c>
      <c r="B4" s="10">
        <v>79250</v>
      </c>
    </row>
    <row r="5" spans="1:2" x14ac:dyDescent="0.3">
      <c r="A5" s="7">
        <v>46121</v>
      </c>
      <c r="B5" s="10">
        <v>74460</v>
      </c>
    </row>
    <row r="6" spans="1:2" x14ac:dyDescent="0.3">
      <c r="A6" s="7">
        <v>46122</v>
      </c>
      <c r="B6" s="10">
        <v>19540</v>
      </c>
    </row>
    <row r="7" spans="1:2" x14ac:dyDescent="0.3">
      <c r="A7" s="7">
        <v>46123</v>
      </c>
      <c r="B7" s="10">
        <v>84270</v>
      </c>
    </row>
    <row r="8" spans="1:2" x14ac:dyDescent="0.3">
      <c r="A8" s="7" t="s">
        <v>26</v>
      </c>
      <c r="B8" s="10">
        <v>257520</v>
      </c>
    </row>
    <row r="11" spans="1:2" x14ac:dyDescent="0.3">
      <c r="A11" s="5" t="s">
        <v>34</v>
      </c>
      <c r="B11" s="15">
        <f>_xlfn.XLOOKUP(MIN(B4:B7),B4:B7,A4:A7,,0)</f>
        <v>46122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4245-07B3-47F7-90DD-DF41DF9F72EA}">
  <sheetPr codeName="Sheet1"/>
  <dimension ref="A1:L11"/>
  <sheetViews>
    <sheetView tabSelected="1" workbookViewId="0">
      <selection activeCell="K20" sqref="K20"/>
    </sheetView>
  </sheetViews>
  <sheetFormatPr defaultRowHeight="14.4" x14ac:dyDescent="0.3"/>
  <cols>
    <col min="1" max="1" width="7.5546875" style="4" bestFit="1" customWidth="1"/>
    <col min="2" max="2" width="10.33203125" style="7" bestFit="1" customWidth="1"/>
    <col min="3" max="3" width="6.77734375" style="4" bestFit="1" customWidth="1"/>
    <col min="4" max="4" width="15.33203125" style="4" bestFit="1" customWidth="1"/>
    <col min="5" max="5" width="12.44140625" style="4" bestFit="1" customWidth="1"/>
    <col min="6" max="6" width="8.33203125" style="4" bestFit="1" customWidth="1"/>
    <col min="7" max="7" width="10.44140625" style="10" bestFit="1" customWidth="1"/>
    <col min="8" max="8" width="14.88671875" style="4" bestFit="1" customWidth="1"/>
    <col min="9" max="9" width="12.33203125" style="4" bestFit="1" customWidth="1"/>
    <col min="10" max="10" width="15.33203125" style="10" bestFit="1" customWidth="1"/>
    <col min="11" max="12" width="10.44140625" style="10" bestFit="1" customWidth="1"/>
    <col min="13" max="16384" width="8.88671875" style="4"/>
  </cols>
  <sheetData>
    <row r="1" spans="1:12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1" t="s">
        <v>7</v>
      </c>
      <c r="I1" s="1" t="s">
        <v>8</v>
      </c>
      <c r="J1" s="8" t="s">
        <v>23</v>
      </c>
      <c r="K1" s="12" t="s">
        <v>24</v>
      </c>
      <c r="L1" s="12" t="s">
        <v>25</v>
      </c>
    </row>
    <row r="2" spans="1:12" x14ac:dyDescent="0.3">
      <c r="A2" s="2">
        <v>10001</v>
      </c>
      <c r="B2" s="3">
        <v>46120</v>
      </c>
      <c r="C2" s="2" t="s">
        <v>9</v>
      </c>
      <c r="D2" s="2" t="s">
        <v>10</v>
      </c>
      <c r="E2" s="2" t="s">
        <v>11</v>
      </c>
      <c r="F2" s="2">
        <v>2</v>
      </c>
      <c r="G2" s="9">
        <v>15000</v>
      </c>
      <c r="H2" s="2">
        <v>10</v>
      </c>
      <c r="I2" s="2">
        <v>3</v>
      </c>
      <c r="J2" s="10">
        <f>G2*H2/100</f>
        <v>1500</v>
      </c>
      <c r="K2" s="10">
        <f>G2-J2</f>
        <v>13500</v>
      </c>
      <c r="L2" s="10">
        <f>F2*K2</f>
        <v>27000</v>
      </c>
    </row>
    <row r="3" spans="1:12" x14ac:dyDescent="0.3">
      <c r="A3" s="2">
        <v>10002</v>
      </c>
      <c r="B3" s="3">
        <v>46120</v>
      </c>
      <c r="C3" s="2" t="s">
        <v>12</v>
      </c>
      <c r="D3" s="2" t="s">
        <v>13</v>
      </c>
      <c r="E3" s="2" t="s">
        <v>14</v>
      </c>
      <c r="F3" s="2">
        <v>1</v>
      </c>
      <c r="G3" s="9">
        <v>55000</v>
      </c>
      <c r="H3" s="2">
        <v>5</v>
      </c>
      <c r="I3" s="2">
        <v>5</v>
      </c>
      <c r="J3" s="10">
        <f t="shared" ref="J3:J11" si="0">G3*H3/100</f>
        <v>2750</v>
      </c>
      <c r="K3" s="10">
        <f t="shared" ref="K3:K11" si="1">G3-J3</f>
        <v>52250</v>
      </c>
      <c r="L3" s="10">
        <f t="shared" ref="L3:L11" si="2">F3*K3</f>
        <v>52250</v>
      </c>
    </row>
    <row r="4" spans="1:12" x14ac:dyDescent="0.3">
      <c r="A4" s="2">
        <v>10003</v>
      </c>
      <c r="B4" s="3">
        <v>46121</v>
      </c>
      <c r="C4" s="2" t="s">
        <v>15</v>
      </c>
      <c r="D4" s="2" t="s">
        <v>16</v>
      </c>
      <c r="E4" s="2" t="s">
        <v>17</v>
      </c>
      <c r="F4" s="2">
        <v>3</v>
      </c>
      <c r="G4" s="9">
        <v>2000</v>
      </c>
      <c r="H4" s="2">
        <v>15</v>
      </c>
      <c r="I4" s="2">
        <v>2</v>
      </c>
      <c r="J4" s="10">
        <f t="shared" si="0"/>
        <v>300</v>
      </c>
      <c r="K4" s="10">
        <f t="shared" si="1"/>
        <v>1700</v>
      </c>
      <c r="L4" s="10">
        <f t="shared" si="2"/>
        <v>5100</v>
      </c>
    </row>
    <row r="5" spans="1:12" x14ac:dyDescent="0.3">
      <c r="A5" s="2">
        <v>10004</v>
      </c>
      <c r="B5" s="3">
        <v>46121</v>
      </c>
      <c r="C5" s="2" t="s">
        <v>18</v>
      </c>
      <c r="D5" s="2" t="s">
        <v>10</v>
      </c>
      <c r="E5" s="2" t="s">
        <v>19</v>
      </c>
      <c r="F5" s="2">
        <v>1</v>
      </c>
      <c r="G5" s="9">
        <v>18000</v>
      </c>
      <c r="H5" s="2">
        <v>8</v>
      </c>
      <c r="I5" s="2">
        <v>4</v>
      </c>
      <c r="J5" s="10">
        <f t="shared" si="0"/>
        <v>1440</v>
      </c>
      <c r="K5" s="10">
        <f t="shared" si="1"/>
        <v>16560</v>
      </c>
      <c r="L5" s="10">
        <f t="shared" si="2"/>
        <v>16560</v>
      </c>
    </row>
    <row r="6" spans="1:12" x14ac:dyDescent="0.3">
      <c r="A6" s="2">
        <v>10005</v>
      </c>
      <c r="B6" s="3">
        <v>46121</v>
      </c>
      <c r="C6" s="2" t="s">
        <v>9</v>
      </c>
      <c r="D6" s="2" t="s">
        <v>13</v>
      </c>
      <c r="E6" s="2" t="s">
        <v>20</v>
      </c>
      <c r="F6" s="2">
        <v>1</v>
      </c>
      <c r="G6" s="9">
        <v>60000</v>
      </c>
      <c r="H6" s="2">
        <v>12</v>
      </c>
      <c r="I6" s="2">
        <v>6</v>
      </c>
      <c r="J6" s="10">
        <f t="shared" si="0"/>
        <v>7200</v>
      </c>
      <c r="K6" s="10">
        <f t="shared" si="1"/>
        <v>52800</v>
      </c>
      <c r="L6" s="10">
        <f t="shared" si="2"/>
        <v>52800</v>
      </c>
    </row>
    <row r="7" spans="1:12" x14ac:dyDescent="0.3">
      <c r="A7" s="2">
        <v>10006</v>
      </c>
      <c r="B7" s="3">
        <v>46122</v>
      </c>
      <c r="C7" s="2" t="s">
        <v>12</v>
      </c>
      <c r="D7" s="2" t="s">
        <v>16</v>
      </c>
      <c r="E7" s="2" t="s">
        <v>21</v>
      </c>
      <c r="F7" s="2">
        <v>2</v>
      </c>
      <c r="G7" s="9">
        <v>1500</v>
      </c>
      <c r="H7" s="2">
        <v>0</v>
      </c>
      <c r="I7" s="2">
        <v>3</v>
      </c>
      <c r="J7" s="10">
        <f t="shared" si="0"/>
        <v>0</v>
      </c>
      <c r="K7" s="10">
        <f t="shared" si="1"/>
        <v>1500</v>
      </c>
      <c r="L7" s="10">
        <f t="shared" si="2"/>
        <v>3000</v>
      </c>
    </row>
    <row r="8" spans="1:12" x14ac:dyDescent="0.3">
      <c r="A8" s="2">
        <v>10007</v>
      </c>
      <c r="B8" s="3">
        <v>46122</v>
      </c>
      <c r="C8" s="2" t="s">
        <v>15</v>
      </c>
      <c r="D8" s="2" t="s">
        <v>10</v>
      </c>
      <c r="E8" s="2" t="s">
        <v>11</v>
      </c>
      <c r="F8" s="2">
        <v>1</v>
      </c>
      <c r="G8" s="9">
        <v>15000</v>
      </c>
      <c r="H8" s="2">
        <v>10</v>
      </c>
      <c r="I8" s="2">
        <v>2</v>
      </c>
      <c r="J8" s="10">
        <f t="shared" si="0"/>
        <v>1500</v>
      </c>
      <c r="K8" s="10">
        <f t="shared" si="1"/>
        <v>13500</v>
      </c>
      <c r="L8" s="10">
        <f t="shared" si="2"/>
        <v>13500</v>
      </c>
    </row>
    <row r="9" spans="1:12" x14ac:dyDescent="0.3">
      <c r="A9" s="2">
        <v>10008</v>
      </c>
      <c r="B9" s="3">
        <v>46122</v>
      </c>
      <c r="C9" s="2" t="s">
        <v>18</v>
      </c>
      <c r="D9" s="2" t="s">
        <v>16</v>
      </c>
      <c r="E9" s="2" t="s">
        <v>22</v>
      </c>
      <c r="F9" s="2">
        <v>4</v>
      </c>
      <c r="G9" s="9">
        <v>800</v>
      </c>
      <c r="H9" s="2">
        <v>5</v>
      </c>
      <c r="I9" s="2">
        <v>4</v>
      </c>
      <c r="J9" s="10">
        <f t="shared" si="0"/>
        <v>40</v>
      </c>
      <c r="K9" s="10">
        <f t="shared" si="1"/>
        <v>760</v>
      </c>
      <c r="L9" s="10">
        <f t="shared" si="2"/>
        <v>3040</v>
      </c>
    </row>
    <row r="10" spans="1:12" x14ac:dyDescent="0.3">
      <c r="A10" s="2">
        <v>10009</v>
      </c>
      <c r="B10" s="3">
        <v>46123</v>
      </c>
      <c r="C10" s="2" t="s">
        <v>9</v>
      </c>
      <c r="D10" s="2" t="s">
        <v>10</v>
      </c>
      <c r="E10" s="2" t="s">
        <v>19</v>
      </c>
      <c r="F10" s="2">
        <v>2</v>
      </c>
      <c r="G10" s="9">
        <v>18000</v>
      </c>
      <c r="H10" s="2">
        <v>8</v>
      </c>
      <c r="I10" s="2">
        <v>3</v>
      </c>
      <c r="J10" s="10">
        <f t="shared" si="0"/>
        <v>1440</v>
      </c>
      <c r="K10" s="10">
        <f t="shared" si="1"/>
        <v>16560</v>
      </c>
      <c r="L10" s="10">
        <f t="shared" si="2"/>
        <v>33120</v>
      </c>
    </row>
    <row r="11" spans="1:12" x14ac:dyDescent="0.3">
      <c r="A11" s="2">
        <v>10010</v>
      </c>
      <c r="B11" s="3">
        <v>46123</v>
      </c>
      <c r="C11" s="2" t="s">
        <v>12</v>
      </c>
      <c r="D11" s="2" t="s">
        <v>13</v>
      </c>
      <c r="E11" s="2" t="s">
        <v>14</v>
      </c>
      <c r="F11" s="2">
        <v>1</v>
      </c>
      <c r="G11" s="9">
        <v>55000</v>
      </c>
      <c r="H11" s="2">
        <v>7</v>
      </c>
      <c r="I11" s="2">
        <v>5</v>
      </c>
      <c r="J11" s="10">
        <f t="shared" si="0"/>
        <v>3850</v>
      </c>
      <c r="K11" s="10">
        <f t="shared" si="1"/>
        <v>51150</v>
      </c>
      <c r="L11" s="10">
        <f t="shared" si="2"/>
        <v>51150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by Region</vt:lpstr>
      <vt:lpstr>Revenue by Product</vt:lpstr>
      <vt:lpstr>Revenue by ProductCategory</vt:lpstr>
      <vt:lpstr>Avg ShippingDays by Region</vt:lpstr>
      <vt:lpstr>Quantity by Product</vt:lpstr>
      <vt:lpstr>Revenue by OrderDate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2026-04-11T09:51:10Z</dcterms:created>
  <dcterms:modified xsi:type="dcterms:W3CDTF">2026-04-15T08:20:53Z</dcterms:modified>
</cp:coreProperties>
</file>