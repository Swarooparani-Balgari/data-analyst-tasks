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TASKS\TASK 7\"/>
    </mc:Choice>
  </mc:AlternateContent>
  <xr:revisionPtr revIDLastSave="0" documentId="13_ncr:1_{8F93443C-5C0D-4175-9A61-E81591D27FEE}" xr6:coauthVersionLast="47" xr6:coauthVersionMax="47" xr10:uidLastSave="{00000000-0000-0000-0000-000000000000}"/>
  <bookViews>
    <workbookView xWindow="-108" yWindow="-108" windowWidth="23256" windowHeight="12456" firstSheet="3" activeTab="5" xr2:uid="{EB147067-7E36-405C-84B0-E25B1122DDCD}"/>
  </bookViews>
  <sheets>
    <sheet name="Conversion rate by TrafficSourc" sheetId="3" r:id="rId1"/>
    <sheet name="Conversion rate by Date" sheetId="6" r:id="rId2"/>
    <sheet name="Conversion rate by Device" sheetId="7" r:id="rId3"/>
    <sheet name="Avg TimeOnSite_sec by TrafficSo" sheetId="5" r:id="rId4"/>
    <sheet name="Metrics" sheetId="2" r:id="rId5"/>
    <sheet name="Dataset" sheetId="1" r:id="rId6"/>
  </sheets>
  <definedNames>
    <definedName name="_xlchart.v2.0" hidden="1">Metrics!$A$3:$A$5</definedName>
    <definedName name="_xlchart.v2.1" hidden="1">Metrics!$B$3:$B$5</definedName>
    <definedName name="_xlchart.v2.2" hidden="1">Metrics!$A$9:$A$11</definedName>
    <definedName name="_xlchart.v2.3" hidden="1">Metrics!$B$9:$B$11</definedName>
  </definedNames>
  <calcPr calcId="191029"/>
  <pivotCaches>
    <pivotCache cacheId="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6" l="1"/>
  <c r="B14" i="7"/>
  <c r="B15" i="5"/>
  <c r="B15" i="3"/>
  <c r="B10" i="7"/>
  <c r="B13" i="6"/>
  <c r="B11" i="3"/>
  <c r="B11" i="5"/>
  <c r="B5" i="2"/>
  <c r="B4" i="2"/>
  <c r="B10" i="2"/>
  <c r="B11" i="2"/>
  <c r="B9" i="2"/>
  <c r="B3" i="2"/>
  <c r="L3" i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</calcChain>
</file>

<file path=xl/sharedStrings.xml><?xml version="1.0" encoding="utf-8"?>
<sst xmlns="http://schemas.openxmlformats.org/spreadsheetml/2006/main" count="90" uniqueCount="39">
  <si>
    <t>SessionID</t>
  </si>
  <si>
    <t>Date</t>
  </si>
  <si>
    <t>TrafficSource</t>
  </si>
  <si>
    <t>Device</t>
  </si>
  <si>
    <t>PagesViewed</t>
  </si>
  <si>
    <t>TimeOnSite_sec</t>
  </si>
  <si>
    <t>AddedToCart</t>
  </si>
  <si>
    <t>Purchased</t>
  </si>
  <si>
    <t>Organic</t>
  </si>
  <si>
    <t>Mobile</t>
  </si>
  <si>
    <t>Yes</t>
  </si>
  <si>
    <t>No</t>
  </si>
  <si>
    <t>Paid Ads</t>
  </si>
  <si>
    <t>Desktop</t>
  </si>
  <si>
    <t>Direct</t>
  </si>
  <si>
    <t>AddedToCartFlag</t>
  </si>
  <si>
    <t>PurchasedToCartFlag</t>
  </si>
  <si>
    <t>CartRate</t>
  </si>
  <si>
    <t>Core Funnel Metrics</t>
  </si>
  <si>
    <t>Values</t>
  </si>
  <si>
    <t>Total Sessions</t>
  </si>
  <si>
    <t>Add to Cart Sessions</t>
  </si>
  <si>
    <t>Purchased Sessions</t>
  </si>
  <si>
    <t>Funnel Conversion rates</t>
  </si>
  <si>
    <t>Add to Cart Rate</t>
  </si>
  <si>
    <t>Purchased Rate</t>
  </si>
  <si>
    <t>Cart- Purchase</t>
  </si>
  <si>
    <t>Grand Total</t>
  </si>
  <si>
    <t>Traffic Source</t>
  </si>
  <si>
    <t>Which Traffic Source has highest Coversion rate</t>
  </si>
  <si>
    <t>Avg TimeOnSite_sec</t>
  </si>
  <si>
    <t>Which TrafficSource had highest Avg TimeOnSite_sec</t>
  </si>
  <si>
    <t>On which day we had highest Coversion rate</t>
  </si>
  <si>
    <t>ConversionRate</t>
  </si>
  <si>
    <t>Sum of ConversionRate</t>
  </si>
  <si>
    <t>What's the lowest conversion rate</t>
  </si>
  <si>
    <t>What's the highest conversion rate</t>
  </si>
  <si>
    <t>What's the highest avg Conversion rate</t>
  </si>
  <si>
    <t>Which Device contributes the lowest conversion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</si>
</sst>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6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7.xlsx]Conversion rate by TrafficSourc!PivotTable1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Conversion rate by TrafficSource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30A0"/>
          </a:solidFill>
          <a:ln>
            <a:noFill/>
          </a:ln>
          <a:effectLst/>
        </c:spPr>
      </c:pivotFmt>
      <c:pivotFmt>
        <c:idx val="2"/>
        <c:spPr>
          <a:solidFill>
            <a:srgbClr val="7030A0">
              <a:alpha val="80000"/>
            </a:srgbClr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030A0"/>
          </a:solidFill>
          <a:ln>
            <a:noFill/>
          </a:ln>
          <a:effectLst/>
        </c:spPr>
      </c:pivotFmt>
      <c:pivotFmt>
        <c:idx val="5"/>
        <c:spPr>
          <a:solidFill>
            <a:srgbClr val="7030A0">
              <a:alpha val="75000"/>
            </a:srgb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'Conversion rate by TrafficSourc'!$B$3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7030A0">
                  <a:alpha val="75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6FE-457C-BA73-FBA151C67552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6FE-457C-BA73-FBA151C67552}"/>
              </c:ext>
            </c:extLst>
          </c:dPt>
          <c:cat>
            <c:strRef>
              <c:f>'Conversion rate by TrafficSourc'!$A$4:$A$7</c:f>
              <c:strCache>
                <c:ptCount val="3"/>
                <c:pt idx="0">
                  <c:v>Direct</c:v>
                </c:pt>
                <c:pt idx="1">
                  <c:v>Paid Ads</c:v>
                </c:pt>
                <c:pt idx="2">
                  <c:v>Organic</c:v>
                </c:pt>
              </c:strCache>
            </c:strRef>
          </c:cat>
          <c:val>
            <c:numRef>
              <c:f>'Conversion rate by TrafficSourc'!$B$4:$B$7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FE-457C-BA73-FBA151C67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94489695"/>
        <c:axId val="1394490175"/>
      </c:barChart>
      <c:catAx>
        <c:axId val="1394489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90175"/>
        <c:crosses val="autoZero"/>
        <c:auto val="1"/>
        <c:lblAlgn val="ctr"/>
        <c:lblOffset val="100"/>
        <c:noMultiLvlLbl val="0"/>
      </c:catAx>
      <c:valAx>
        <c:axId val="1394490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89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7.xlsx]Conversion rate by Date!PivotTable4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Conversion rate by 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'Conversion rate by Date'!$B$3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'Conversion rate by Date'!$A$4:$A$9</c:f>
              <c:strCache>
                <c:ptCount val="5"/>
                <c:pt idx="0">
                  <c:v>10-04-2026</c:v>
                </c:pt>
                <c:pt idx="1">
                  <c:v>11-04-2026</c:v>
                </c:pt>
                <c:pt idx="2">
                  <c:v>12-04-2026</c:v>
                </c:pt>
                <c:pt idx="3">
                  <c:v>13-04-2026</c:v>
                </c:pt>
                <c:pt idx="4">
                  <c:v>14-04-2026</c:v>
                </c:pt>
              </c:strCache>
            </c:strRef>
          </c:cat>
          <c:val>
            <c:numRef>
              <c:f>'Conversion rate by Date'!$B$4:$B$9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85-4E32-B68A-277598DF8286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9432223"/>
        <c:axId val="1389431743"/>
      </c:lineChart>
      <c:catAx>
        <c:axId val="138943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431743"/>
        <c:crosses val="autoZero"/>
        <c:auto val="1"/>
        <c:lblAlgn val="ctr"/>
        <c:lblOffset val="100"/>
        <c:noMultiLvlLbl val="0"/>
      </c:catAx>
      <c:valAx>
        <c:axId val="1389431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432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7.xlsx]Conversion rate by Device!PivotTable1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Conversion rate by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'Conversion rate by Device'!$B$3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E97-455D-8DA4-734E41459F6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E97-455D-8DA4-734E41459F69}"/>
              </c:ext>
            </c:extLst>
          </c:dPt>
          <c:cat>
            <c:strRef>
              <c:f>'Conversion rate by Device'!$A$4:$A$6</c:f>
              <c:strCache>
                <c:ptCount val="2"/>
                <c:pt idx="0">
                  <c:v>Desktop</c:v>
                </c:pt>
                <c:pt idx="1">
                  <c:v>Mobile</c:v>
                </c:pt>
              </c:strCache>
            </c:strRef>
          </c:cat>
          <c:val>
            <c:numRef>
              <c:f>'Conversion rate by Device'!$B$4:$B$6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7-455D-8DA4-734E41459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5962896"/>
        <c:axId val="1135946576"/>
      </c:barChart>
      <c:catAx>
        <c:axId val="113596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946576"/>
        <c:crosses val="autoZero"/>
        <c:auto val="1"/>
        <c:lblAlgn val="ctr"/>
        <c:lblOffset val="100"/>
        <c:noMultiLvlLbl val="0"/>
      </c:catAx>
      <c:valAx>
        <c:axId val="113594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96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7.xlsx]Avg TimeOnSite_sec by TrafficSo!PivotTable3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 TimeOnSite_sec by TrafficSource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'Avg TimeOnSite_sec by TrafficSo'!$B$3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TimeOnSite_sec by TrafficSo'!$A$4:$A$7</c:f>
              <c:strCache>
                <c:ptCount val="3"/>
                <c:pt idx="0">
                  <c:v>Direct</c:v>
                </c:pt>
                <c:pt idx="1">
                  <c:v>Organic</c:v>
                </c:pt>
                <c:pt idx="2">
                  <c:v>Paid Ads</c:v>
                </c:pt>
              </c:strCache>
            </c:strRef>
          </c:cat>
          <c:val>
            <c:numRef>
              <c:f>'Avg TimeOnSite_sec by TrafficSo'!$B$4:$B$7</c:f>
              <c:numCache>
                <c:formatCode>0.00</c:formatCode>
                <c:ptCount val="3"/>
                <c:pt idx="0">
                  <c:v>133.33333333333334</c:v>
                </c:pt>
                <c:pt idx="1">
                  <c:v>202.5</c:v>
                </c:pt>
                <c:pt idx="2">
                  <c:v>256.66666666666669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3F-42E8-972F-4E52E1BEE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2496559"/>
        <c:axId val="712497039"/>
      </c:lineChart>
      <c:catAx>
        <c:axId val="71249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497039"/>
        <c:crosses val="autoZero"/>
        <c:auto val="1"/>
        <c:lblAlgn val="ctr"/>
        <c:lblOffset val="100"/>
        <c:noMultiLvlLbl val="0"/>
      </c:catAx>
      <c:valAx>
        <c:axId val="71249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49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Core Funnel Metrics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r>
            <a:rPr kumimoji="0" lang="en-IN" sz="1400" b="1" i="0" u="none" strike="noStrike" kern="1200" cap="none" spc="0" normalizeH="0" baseline="0" noProof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  <a:uLnTx/>
              <a:uFillTx/>
              <a:latin typeface="Calibri" panose="020F0502020204030204"/>
            </a:rPr>
            <a:t>Core Funnel Metrics</a:t>
          </a:r>
        </a:p>
      </cx:txPr>
    </cx:title>
    <cx:plotArea>
      <cx:plotAreaRegion>
        <cx:series layoutId="funnel" uniqueId="{E186BD7F-91CD-4F3F-A7F4-446A21B81E13}">
          <cx:dataPt idx="0">
            <cx:spPr>
              <a:solidFill>
                <a:srgbClr val="4472C4">
                  <a:lumMod val="50000"/>
                </a:srgbClr>
              </a:solidFill>
            </cx:spPr>
          </cx:dataPt>
          <cx:dataPt idx="1">
            <cx:spPr>
              <a:solidFill>
                <a:srgbClr val="4472C4">
                  <a:lumMod val="75000"/>
                </a:srgbClr>
              </a:solidFill>
            </cx:spPr>
          </cx:dataPt>
          <cx:dataPt idx="2">
            <cx:spPr>
              <a:solidFill>
                <a:srgbClr val="4472C4">
                  <a:lumMod val="60000"/>
                  <a:lumOff val="40000"/>
                </a:srgbClr>
              </a:solidFill>
            </cx:spPr>
          </cx:dataPt>
          <cx:dataId val="0"/>
        </cx:series>
      </cx:plotAreaRegion>
      <cx:axis id="0">
        <cx:catScaling gapWidth="1.82000005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>
                    <a:lumMod val="95000"/>
                    <a:lumOff val="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N">
              <a:solidFill>
                <a:schemeClr val="tx1">
                  <a:lumMod val="95000"/>
                  <a:lumOff val="5000"/>
                </a:schemeClr>
              </a:solidFill>
            </a:endParaRPr>
          </a:p>
        </cx:txPr>
      </cx:axis>
    </cx:plotArea>
  </cx:chart>
  <cx:spPr>
    <a:solidFill>
      <a:schemeClr val="accent4">
        <a:lumMod val="20000"/>
        <a:lumOff val="80000"/>
      </a:schemeClr>
    </a:solidFill>
    <a:ln>
      <a:solidFill>
        <a:schemeClr val="tx1">
          <a:lumMod val="95000"/>
          <a:lumOff val="5000"/>
        </a:schemeClr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</cx:f>
      </cx:strDim>
      <cx:numDim type="val">
        <cx:f>_xlchart.v2.3</cx:f>
      </cx:numDim>
    </cx:data>
  </cx:chartData>
  <cx:chart>
    <cx:title pos="t" align="ctr" overlay="0">
      <cx:tx>
        <cx:txData>
          <cx:v>Funnel Conversion rates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1">
                  <a:lumMod val="95000"/>
                  <a:lumOff val="5000"/>
                </a:schemeClr>
              </a:solidFill>
            </a:defRPr>
          </a:pPr>
          <a:r>
            <a:rPr lang="en-US" sz="1400" b="1" i="0" u="none" strike="noStrike" baseline="0">
              <a:solidFill>
                <a:schemeClr val="tx1">
                  <a:lumMod val="95000"/>
                  <a:lumOff val="5000"/>
                </a:schemeClr>
              </a:solidFill>
              <a:latin typeface="Calibri" panose="020F0502020204030204"/>
            </a:rPr>
            <a:t>Funnel Conversion rates</a:t>
          </a:r>
        </a:p>
      </cx:txPr>
    </cx:title>
    <cx:plotArea>
      <cx:plotAreaRegion>
        <cx:series layoutId="funnel" uniqueId="{5CDFE470-417C-4E76-958D-67455A0A978E}">
          <cx:dataPt idx="0">
            <cx:spPr>
              <a:solidFill>
                <a:srgbClr val="ED7D31">
                  <a:lumMod val="50000"/>
                </a:srgbClr>
              </a:solidFill>
            </cx:spPr>
          </cx:dataPt>
          <cx:dataPt idx="1">
            <cx:spPr>
              <a:solidFill>
                <a:srgbClr val="ED7D31">
                  <a:lumMod val="75000"/>
                </a:srgbClr>
              </a:solidFill>
            </cx:spPr>
          </cx:dataPt>
          <cx:dataPt idx="2">
            <cx:spPr>
              <a:solidFill>
                <a:srgbClr val="ED7D31">
                  <a:lumMod val="60000"/>
                  <a:lumOff val="40000"/>
                </a:srgbClr>
              </a:solidFill>
            </cx:spPr>
          </cx:dataPt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chemeClr val="bg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IN">
                  <a:solidFill>
                    <a:schemeClr val="bg1"/>
                  </a:solidFill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>
                    <a:lumMod val="95000"/>
                    <a:lumOff val="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N">
              <a:solidFill>
                <a:schemeClr val="tx1">
                  <a:lumMod val="95000"/>
                  <a:lumOff val="5000"/>
                </a:schemeClr>
              </a:solidFill>
            </a:endParaRPr>
          </a:p>
        </cx:txPr>
      </cx:axis>
    </cx:plotArea>
  </cx:chart>
  <cx:spPr>
    <a:solidFill>
      <a:schemeClr val="accent5">
        <a:lumMod val="20000"/>
        <a:lumOff val="80000"/>
      </a:schemeClr>
    </a:solidFill>
    <a:ln>
      <a:solidFill>
        <a:schemeClr val="tx1">
          <a:lumMod val="95000"/>
          <a:lumOff val="5000"/>
        </a:schemeClr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1</xdr:row>
      <xdr:rowOff>179070</xdr:rowOff>
    </xdr:from>
    <xdr:to>
      <xdr:col>11</xdr:col>
      <xdr:colOff>594360</xdr:colOff>
      <xdr:row>20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152B3D-F6CE-BE70-A233-80E803C9F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2</xdr:row>
      <xdr:rowOff>3810</xdr:rowOff>
    </xdr:from>
    <xdr:to>
      <xdr:col>11</xdr:col>
      <xdr:colOff>342900</xdr:colOff>
      <xdr:row>18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066F35-EA14-EF42-2D47-E597BBA72A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1</xdr:row>
      <xdr:rowOff>171450</xdr:rowOff>
    </xdr:from>
    <xdr:to>
      <xdr:col>10</xdr:col>
      <xdr:colOff>601980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A51A3C-8C23-F9C8-F9C5-85197C202E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464820</xdr:colOff>
      <xdr:row>1</xdr:row>
      <xdr:rowOff>133350</xdr:rowOff>
    </xdr:from>
    <xdr:to>
      <xdr:col>11</xdr:col>
      <xdr:colOff>274320</xdr:colOff>
      <xdr:row>20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8760DA-C851-663F-B21B-F6AB49640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0</xdr:row>
      <xdr:rowOff>171450</xdr:rowOff>
    </xdr:from>
    <xdr:to>
      <xdr:col>9</xdr:col>
      <xdr:colOff>403860</xdr:colOff>
      <xdr:row>19</xdr:row>
      <xdr:rowOff>22860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C7C3064-348E-B9CC-061C-58D514C86C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59380" y="171450"/>
              <a:ext cx="4038600" cy="33261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7620</xdr:colOff>
      <xdr:row>0</xdr:row>
      <xdr:rowOff>171450</xdr:rowOff>
    </xdr:from>
    <xdr:to>
      <xdr:col>17</xdr:col>
      <xdr:colOff>525780</xdr:colOff>
      <xdr:row>18</xdr:row>
      <xdr:rowOff>129540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9BDB062-54CA-9C06-580C-3CD4EEFA62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20940" y="171450"/>
              <a:ext cx="4175760" cy="32499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29.639855208334" createdVersion="8" refreshedVersion="8" minRefreshableVersion="3" recordCount="10" xr:uid="{BDC4D4C4-7AFA-422F-A0BC-CBD847F63B7C}">
  <cacheSource type="worksheet">
    <worksheetSource ref="A1:L11" sheet="Dataset"/>
  </cacheSource>
  <cacheFields count="12">
    <cacheField name="SessionID" numFmtId="0">
      <sharedItems containsSemiMixedTypes="0" containsString="0" containsNumber="1" containsInteger="1" minValue="5001" maxValue="5010"/>
    </cacheField>
    <cacheField name="Date" numFmtId="14">
      <sharedItems containsSemiMixedTypes="0" containsNonDate="0" containsDate="1" containsString="0" minDate="2026-04-10T00:00:00" maxDate="2026-04-15T00:00:00" count="5">
        <d v="2026-04-10T00:00:00"/>
        <d v="2026-04-11T00:00:00"/>
        <d v="2026-04-12T00:00:00"/>
        <d v="2026-04-13T00:00:00"/>
        <d v="2026-04-14T00:00:00"/>
      </sharedItems>
    </cacheField>
    <cacheField name="TrafficSource" numFmtId="49">
      <sharedItems count="3">
        <s v="Organic"/>
        <s v="Paid Ads"/>
        <s v="Direct"/>
      </sharedItems>
    </cacheField>
    <cacheField name="Device" numFmtId="49">
      <sharedItems count="2">
        <s v="Mobile"/>
        <s v="Desktop"/>
      </sharedItems>
    </cacheField>
    <cacheField name="PagesViewed" numFmtId="0">
      <sharedItems containsSemiMixedTypes="0" containsString="0" containsNumber="1" containsInteger="1" minValue="2" maxValue="9"/>
    </cacheField>
    <cacheField name="TimeOnSite_sec" numFmtId="0">
      <sharedItems containsSemiMixedTypes="0" containsString="0" containsNumber="1" containsInteger="1" minValue="60" maxValue="320"/>
    </cacheField>
    <cacheField name="AddedToCart" numFmtId="49">
      <sharedItems/>
    </cacheField>
    <cacheField name="Purchased" numFmtId="49">
      <sharedItems/>
    </cacheField>
    <cacheField name="AddedToCartFlag" numFmtId="0">
      <sharedItems containsSemiMixedTypes="0" containsString="0" containsNumber="1" containsInteger="1" minValue="0" maxValue="1"/>
    </cacheField>
    <cacheField name="PurchasedToCartFlag" numFmtId="0">
      <sharedItems containsSemiMixedTypes="0" containsString="0" containsNumber="1" containsInteger="1" minValue="0" maxValue="1"/>
    </cacheField>
    <cacheField name="CartRate" numFmtId="0">
      <sharedItems containsSemiMixedTypes="0" containsString="0" containsNumber="1" containsInteger="1" minValue="0" maxValue="1"/>
    </cacheField>
    <cacheField name="ConversionRat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5001"/>
    <x v="0"/>
    <x v="0"/>
    <x v="0"/>
    <n v="5"/>
    <n v="180"/>
    <s v="Yes"/>
    <s v="No"/>
    <n v="1"/>
    <n v="0"/>
    <n v="1"/>
    <n v="0"/>
  </r>
  <r>
    <n v="5002"/>
    <x v="0"/>
    <x v="1"/>
    <x v="1"/>
    <n v="8"/>
    <n v="300"/>
    <s v="Yes"/>
    <s v="Yes"/>
    <n v="1"/>
    <n v="1"/>
    <n v="1"/>
    <n v="1"/>
  </r>
  <r>
    <n v="5003"/>
    <x v="1"/>
    <x v="2"/>
    <x v="0"/>
    <n v="3"/>
    <n v="90"/>
    <s v="No"/>
    <s v="No"/>
    <n v="0"/>
    <n v="0"/>
    <n v="0"/>
    <n v="0"/>
  </r>
  <r>
    <n v="5004"/>
    <x v="1"/>
    <x v="0"/>
    <x v="1"/>
    <n v="6"/>
    <n v="210"/>
    <s v="Yes"/>
    <s v="Yes"/>
    <n v="1"/>
    <n v="1"/>
    <n v="1"/>
    <n v="1"/>
  </r>
  <r>
    <n v="5005"/>
    <x v="2"/>
    <x v="1"/>
    <x v="0"/>
    <n v="4"/>
    <n v="150"/>
    <s v="Yes"/>
    <s v="No"/>
    <n v="1"/>
    <n v="0"/>
    <n v="1"/>
    <n v="0"/>
  </r>
  <r>
    <n v="5006"/>
    <x v="2"/>
    <x v="2"/>
    <x v="1"/>
    <n v="7"/>
    <n v="250"/>
    <s v="No"/>
    <s v="No"/>
    <n v="0"/>
    <n v="0"/>
    <n v="0"/>
    <n v="0"/>
  </r>
  <r>
    <n v="5007"/>
    <x v="3"/>
    <x v="0"/>
    <x v="0"/>
    <n v="5"/>
    <n v="200"/>
    <s v="Yes"/>
    <s v="Yes"/>
    <n v="1"/>
    <n v="1"/>
    <n v="1"/>
    <n v="1"/>
  </r>
  <r>
    <n v="5008"/>
    <x v="3"/>
    <x v="1"/>
    <x v="1"/>
    <n v="9"/>
    <n v="320"/>
    <s v="Yes"/>
    <s v="Yes"/>
    <n v="1"/>
    <n v="1"/>
    <n v="1"/>
    <n v="1"/>
  </r>
  <r>
    <n v="5009"/>
    <x v="4"/>
    <x v="2"/>
    <x v="0"/>
    <n v="2"/>
    <n v="60"/>
    <s v="No"/>
    <s v="No"/>
    <n v="0"/>
    <n v="0"/>
    <n v="0"/>
    <n v="0"/>
  </r>
  <r>
    <n v="5010"/>
    <x v="4"/>
    <x v="0"/>
    <x v="1"/>
    <n v="6"/>
    <n v="220"/>
    <s v="Yes"/>
    <s v="Yes"/>
    <n v="1"/>
    <n v="1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72E341-12AA-464C-8700-479968BEB01F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TrafficSource">
  <location ref="A3:B7" firstHeaderRow="1" firstDataRow="1" firstDataCol="1"/>
  <pivotFields count="12">
    <pivotField showAll="0"/>
    <pivotField numFmtId="14" showAll="0"/>
    <pivotField axis="axisRow" showAll="0" sortType="a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ConversionRate" fld="11" baseField="0" baseItem="0"/>
  </dataFields>
  <formats count="6"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2" type="button" dataOnly="0" labelOnly="1" outline="0" axis="axisRow" fieldPosition="0"/>
    </format>
    <format dxfId="55">
      <pivotArea dataOnly="0" labelOnly="1" fieldPosition="0">
        <references count="1">
          <reference field="2" count="0"/>
        </references>
      </pivotArea>
    </format>
    <format dxfId="54">
      <pivotArea dataOnly="0" labelOnly="1" grandRow="1" outline="0" fieldPosition="0"/>
    </format>
    <format dxfId="53">
      <pivotArea dataOnly="0" labelOnly="1" outline="0" axis="axisValues" fieldPosition="0"/>
    </format>
  </formats>
  <chartFormats count="3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CCF0E8-00A4-45C3-BC2D-469AA1F6A06E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Date">
  <location ref="A3:B9" firstHeaderRow="1" firstDataRow="1" firstDataCol="1"/>
  <pivotFields count="12">
    <pivotField showAll="0"/>
    <pivotField axis="axisRow" numFmtId="14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onversionRate" fld="11" baseField="0" baseItem="0"/>
  </dataFields>
  <formats count="6"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1" type="button" dataOnly="0" labelOnly="1" outline="0" axis="axisRow" fieldPosition="0"/>
    </format>
    <format dxfId="61">
      <pivotArea dataOnly="0" labelOnly="1" fieldPosition="0">
        <references count="1">
          <reference field="1" count="0"/>
        </references>
      </pivotArea>
    </format>
    <format dxfId="60">
      <pivotArea dataOnly="0" labelOnly="1" grandRow="1" outline="0" fieldPosition="0"/>
    </format>
    <format dxfId="59">
      <pivotArea dataOnly="0" labelOnly="1" outline="0" axis="axisValues" fieldPosition="0"/>
    </format>
  </format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BE60F9-3B18-40B3-91A7-48A51C79EAA3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Device">
  <location ref="A3:B6" firstHeaderRow="1" firstDataRow="1" firstDataCol="1"/>
  <pivotFields count="12">
    <pivotField showAll="0"/>
    <pivotField numFmtId="14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ConversionRate" fld="11" baseField="0" baseItem="0"/>
  </dataFields>
  <formats count="6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3" type="button" dataOnly="0" labelOnly="1" outline="0" axis="axisRow" fieldPosition="0"/>
    </format>
    <format dxfId="21">
      <pivotArea dataOnly="0" labelOnly="1" fieldPosition="0">
        <references count="1">
          <reference field="3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04A157-6794-4A43-B2B1-A2F74EFC08F2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Traffic Source">
  <location ref="A3:B7" firstHeaderRow="1" firstDataRow="1" firstDataCol="1"/>
  <pivotFields count="12">
    <pivotField showAll="0"/>
    <pivotField numFmtId="14" showAll="0"/>
    <pivotField axis="axisRow" showAll="0" sortType="a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g TimeOnSite_sec" fld="5" subtotal="average" baseField="2" baseItem="0" numFmtId="2"/>
  </dataFields>
  <formats count="8">
    <format dxfId="52">
      <pivotArea outline="0" collapsedLevelsAreSubtotals="1" fieldPosition="0"/>
    </format>
    <format dxfId="51">
      <pivotArea dataOnly="0" labelOnly="1" outline="0" axis="axisValues" fieldPosition="0"/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2" type="button" dataOnly="0" labelOnly="1" outline="0" axis="axisRow" fieldPosition="0"/>
    </format>
    <format dxfId="47">
      <pivotArea dataOnly="0" labelOnly="1" fieldPosition="0">
        <references count="1">
          <reference field="2" count="0"/>
        </references>
      </pivotArea>
    </format>
    <format dxfId="46">
      <pivotArea dataOnly="0" labelOnly="1" grandRow="1" outline="0" fieldPosition="0"/>
    </format>
    <format dxfId="4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8319E-7B9D-4D97-89DB-682B2595C559}">
  <sheetPr codeName="Sheet3"/>
  <dimension ref="A3:B15"/>
  <sheetViews>
    <sheetView workbookViewId="0">
      <selection activeCell="A18" sqref="A18"/>
    </sheetView>
  </sheetViews>
  <sheetFormatPr defaultRowHeight="14.4" x14ac:dyDescent="0.3"/>
  <cols>
    <col min="1" max="1" width="41.5546875" style="7" bestFit="1" customWidth="1"/>
    <col min="2" max="2" width="20.88671875" style="7" bestFit="1" customWidth="1"/>
    <col min="3" max="16384" width="8.88671875" style="7"/>
  </cols>
  <sheetData>
    <row r="3" spans="1:2" x14ac:dyDescent="0.3">
      <c r="A3" s="12" t="s">
        <v>2</v>
      </c>
      <c r="B3" s="7" t="s">
        <v>34</v>
      </c>
    </row>
    <row r="4" spans="1:2" x14ac:dyDescent="0.3">
      <c r="A4" s="7" t="s">
        <v>14</v>
      </c>
      <c r="B4" s="16">
        <v>0</v>
      </c>
    </row>
    <row r="5" spans="1:2" x14ac:dyDescent="0.3">
      <c r="A5" s="7" t="s">
        <v>12</v>
      </c>
      <c r="B5" s="16">
        <v>2</v>
      </c>
    </row>
    <row r="6" spans="1:2" x14ac:dyDescent="0.3">
      <c r="A6" s="7" t="s">
        <v>8</v>
      </c>
      <c r="B6" s="16">
        <v>3</v>
      </c>
    </row>
    <row r="7" spans="1:2" x14ac:dyDescent="0.3">
      <c r="A7" s="7" t="s">
        <v>27</v>
      </c>
      <c r="B7" s="16">
        <v>5</v>
      </c>
    </row>
    <row r="11" spans="1:2" x14ac:dyDescent="0.3">
      <c r="A11" s="10" t="s">
        <v>29</v>
      </c>
      <c r="B11" s="10" t="str">
        <f>_xlfn.XLOOKUP(B6,B4:B6,A4:A6,)</f>
        <v>Organic</v>
      </c>
    </row>
    <row r="15" spans="1:2" x14ac:dyDescent="0.3">
      <c r="A15" s="10" t="s">
        <v>36</v>
      </c>
      <c r="B15" s="10">
        <f>VLOOKUP("Organic",A4:B6,2,FALSE)</f>
        <v>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E885C-D685-4B48-A6FF-1F57505D3214}">
  <dimension ref="A3:B17"/>
  <sheetViews>
    <sheetView workbookViewId="0">
      <selection activeCell="A20" sqref="A20"/>
    </sheetView>
  </sheetViews>
  <sheetFormatPr defaultRowHeight="14.4" x14ac:dyDescent="0.3"/>
  <cols>
    <col min="1" max="1" width="38.88671875" style="7" bestFit="1" customWidth="1"/>
    <col min="2" max="2" width="20.88671875" style="7" bestFit="1" customWidth="1"/>
    <col min="3" max="3" width="18.77734375" style="7" bestFit="1" customWidth="1"/>
    <col min="4" max="16384" width="8.88671875" style="7"/>
  </cols>
  <sheetData>
    <row r="3" spans="1:2" x14ac:dyDescent="0.3">
      <c r="A3" s="12" t="s">
        <v>1</v>
      </c>
      <c r="B3" s="7" t="s">
        <v>34</v>
      </c>
    </row>
    <row r="4" spans="1:2" x14ac:dyDescent="0.3">
      <c r="A4" s="8">
        <v>46122</v>
      </c>
      <c r="B4" s="16">
        <v>1</v>
      </c>
    </row>
    <row r="5" spans="1:2" x14ac:dyDescent="0.3">
      <c r="A5" s="8">
        <v>46123</v>
      </c>
      <c r="B5" s="16">
        <v>1</v>
      </c>
    </row>
    <row r="6" spans="1:2" x14ac:dyDescent="0.3">
      <c r="A6" s="8">
        <v>46124</v>
      </c>
      <c r="B6" s="16">
        <v>0</v>
      </c>
    </row>
    <row r="7" spans="1:2" x14ac:dyDescent="0.3">
      <c r="A7" s="8">
        <v>46125</v>
      </c>
      <c r="B7" s="16">
        <v>2</v>
      </c>
    </row>
    <row r="8" spans="1:2" x14ac:dyDescent="0.3">
      <c r="A8" s="8">
        <v>46126</v>
      </c>
      <c r="B8" s="16">
        <v>1</v>
      </c>
    </row>
    <row r="9" spans="1:2" x14ac:dyDescent="0.3">
      <c r="A9" s="8" t="s">
        <v>27</v>
      </c>
      <c r="B9" s="16">
        <v>5</v>
      </c>
    </row>
    <row r="13" spans="1:2" x14ac:dyDescent="0.3">
      <c r="A13" s="10" t="s">
        <v>32</v>
      </c>
      <c r="B13" s="15">
        <f>_xlfn.XLOOKUP(B7,B4:B8,A4:A8,)</f>
        <v>46125</v>
      </c>
    </row>
    <row r="17" spans="1:2" x14ac:dyDescent="0.3">
      <c r="A17" s="10" t="s">
        <v>36</v>
      </c>
      <c r="B17" s="17">
        <f>VLOOKUP(A7,A4:B8,2,FALSE)</f>
        <v>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2C164-9073-4DDA-9A57-A46D847FA0B5}">
  <dimension ref="A3:B14"/>
  <sheetViews>
    <sheetView workbookViewId="0">
      <selection activeCell="A18" sqref="A18"/>
    </sheetView>
  </sheetViews>
  <sheetFormatPr defaultRowHeight="14.4" x14ac:dyDescent="0.3"/>
  <cols>
    <col min="1" max="1" width="44.6640625" style="7" bestFit="1" customWidth="1"/>
    <col min="2" max="2" width="20.88671875" style="7" bestFit="1" customWidth="1"/>
    <col min="3" max="16384" width="8.88671875" style="7"/>
  </cols>
  <sheetData>
    <row r="3" spans="1:2" x14ac:dyDescent="0.3">
      <c r="A3" s="12" t="s">
        <v>3</v>
      </c>
      <c r="B3" s="7" t="s">
        <v>34</v>
      </c>
    </row>
    <row r="4" spans="1:2" x14ac:dyDescent="0.3">
      <c r="A4" s="7" t="s">
        <v>13</v>
      </c>
      <c r="B4" s="16">
        <v>4</v>
      </c>
    </row>
    <row r="5" spans="1:2" x14ac:dyDescent="0.3">
      <c r="A5" s="7" t="s">
        <v>9</v>
      </c>
      <c r="B5" s="16">
        <v>1</v>
      </c>
    </row>
    <row r="6" spans="1:2" x14ac:dyDescent="0.3">
      <c r="A6" s="7" t="s">
        <v>27</v>
      </c>
      <c r="B6" s="16">
        <v>5</v>
      </c>
    </row>
    <row r="10" spans="1:2" x14ac:dyDescent="0.3">
      <c r="A10" s="10" t="s">
        <v>35</v>
      </c>
      <c r="B10" s="10">
        <f>VLOOKUP("Mobile",A4:B5,2,FALSE)</f>
        <v>1</v>
      </c>
    </row>
    <row r="14" spans="1:2" x14ac:dyDescent="0.3">
      <c r="A14" s="10" t="s">
        <v>38</v>
      </c>
      <c r="B14" s="10" t="str">
        <f>_xlfn.XLOOKUP(MIN(B4:B5),B4:B5,A4:A5,)</f>
        <v>Mobile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C8BF7-A709-476E-A915-BEAC200E7234}">
  <sheetPr codeName="Sheet5"/>
  <dimension ref="A3:B15"/>
  <sheetViews>
    <sheetView workbookViewId="0">
      <selection activeCell="A19" sqref="A19"/>
    </sheetView>
  </sheetViews>
  <sheetFormatPr defaultRowHeight="14.4" x14ac:dyDescent="0.3"/>
  <cols>
    <col min="1" max="1" width="46.5546875" style="7" bestFit="1" customWidth="1"/>
    <col min="2" max="2" width="18.21875" style="13" bestFit="1" customWidth="1"/>
    <col min="3" max="16384" width="8.88671875" style="7"/>
  </cols>
  <sheetData>
    <row r="3" spans="1:2" x14ac:dyDescent="0.3">
      <c r="A3" s="12" t="s">
        <v>28</v>
      </c>
      <c r="B3" s="13" t="s">
        <v>30</v>
      </c>
    </row>
    <row r="4" spans="1:2" x14ac:dyDescent="0.3">
      <c r="A4" s="7" t="s">
        <v>14</v>
      </c>
      <c r="B4" s="13">
        <v>133.33333333333334</v>
      </c>
    </row>
    <row r="5" spans="1:2" x14ac:dyDescent="0.3">
      <c r="A5" s="7" t="s">
        <v>8</v>
      </c>
      <c r="B5" s="13">
        <v>202.5</v>
      </c>
    </row>
    <row r="6" spans="1:2" x14ac:dyDescent="0.3">
      <c r="A6" s="7" t="s">
        <v>12</v>
      </c>
      <c r="B6" s="13">
        <v>256.66666666666669</v>
      </c>
    </row>
    <row r="7" spans="1:2" x14ac:dyDescent="0.3">
      <c r="A7" s="7" t="s">
        <v>27</v>
      </c>
      <c r="B7" s="13">
        <v>198</v>
      </c>
    </row>
    <row r="11" spans="1:2" x14ac:dyDescent="0.3">
      <c r="A11" s="10" t="s">
        <v>31</v>
      </c>
      <c r="B11" s="14" t="str">
        <f>_xlfn.XLOOKUP(MAX(B4:B6),B4:B6,A4:A6,)</f>
        <v>Paid Ads</v>
      </c>
    </row>
    <row r="15" spans="1:2" x14ac:dyDescent="0.3">
      <c r="A15" s="10" t="s">
        <v>37</v>
      </c>
      <c r="B15" s="14">
        <f>VLOOKUP("Paid Ads",A4:B6,2,FALSE)</f>
        <v>256.66666666666669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03676-CDA0-4888-8B6A-8344BBE58505}">
  <sheetPr codeName="Sheet2"/>
  <dimension ref="A1:B11"/>
  <sheetViews>
    <sheetView workbookViewId="0">
      <selection activeCell="M23" sqref="M23"/>
    </sheetView>
  </sheetViews>
  <sheetFormatPr defaultRowHeight="14.4" x14ac:dyDescent="0.3"/>
  <cols>
    <col min="1" max="1" width="21.44140625" style="7" bestFit="1" customWidth="1"/>
    <col min="2" max="2" width="8.109375" style="7" bestFit="1" customWidth="1"/>
    <col min="3" max="16384" width="8.88671875" style="7"/>
  </cols>
  <sheetData>
    <row r="1" spans="1:2" x14ac:dyDescent="0.3">
      <c r="A1" s="10" t="s">
        <v>18</v>
      </c>
      <c r="B1" s="10" t="s">
        <v>19</v>
      </c>
    </row>
    <row r="3" spans="1:2" x14ac:dyDescent="0.3">
      <c r="A3" s="7" t="s">
        <v>20</v>
      </c>
      <c r="B3" s="7">
        <f>COUNTA(Dataset!A2:A11)</f>
        <v>10</v>
      </c>
    </row>
    <row r="4" spans="1:2" x14ac:dyDescent="0.3">
      <c r="A4" s="7" t="s">
        <v>21</v>
      </c>
      <c r="B4" s="7">
        <f>SUM(Dataset!I2:I11)</f>
        <v>7</v>
      </c>
    </row>
    <row r="5" spans="1:2" x14ac:dyDescent="0.3">
      <c r="A5" s="7" t="s">
        <v>22</v>
      </c>
      <c r="B5" s="7">
        <f>SUM(Dataset!J2:J11)</f>
        <v>5</v>
      </c>
    </row>
    <row r="7" spans="1:2" x14ac:dyDescent="0.3">
      <c r="A7" s="10" t="s">
        <v>23</v>
      </c>
      <c r="B7" s="10" t="s">
        <v>19</v>
      </c>
    </row>
    <row r="9" spans="1:2" x14ac:dyDescent="0.3">
      <c r="A9" s="7" t="s">
        <v>24</v>
      </c>
      <c r="B9" s="11">
        <f>SUM(Dataset!I2:I11)/COUNTA(Dataset!A2:A11)</f>
        <v>0.7</v>
      </c>
    </row>
    <row r="10" spans="1:2" x14ac:dyDescent="0.3">
      <c r="A10" s="7" t="s">
        <v>25</v>
      </c>
      <c r="B10" s="11">
        <f>SUM(Dataset!K2:K11)/COUNTA(Dataset!A2:A11)</f>
        <v>0.7</v>
      </c>
    </row>
    <row r="11" spans="1:2" x14ac:dyDescent="0.3">
      <c r="A11" s="7" t="s">
        <v>26</v>
      </c>
      <c r="B11" s="11">
        <f>SUM(Dataset!J2:J11)/COUNTA(Dataset!A2:A11)</f>
        <v>0.5</v>
      </c>
    </row>
  </sheetData>
  <sortState xmlns:xlrd2="http://schemas.microsoft.com/office/spreadsheetml/2017/richdata2" ref="B9:B11">
    <sortCondition descending="1" ref="B9:B11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07213-93A5-4CF3-B59F-3D1ED0FA056E}">
  <sheetPr codeName="Sheet1"/>
  <dimension ref="A1:L11"/>
  <sheetViews>
    <sheetView tabSelected="1" workbookViewId="0">
      <selection activeCell="G24" sqref="G24"/>
    </sheetView>
  </sheetViews>
  <sheetFormatPr defaultRowHeight="14.4" x14ac:dyDescent="0.3"/>
  <cols>
    <col min="1" max="1" width="9" style="7" bestFit="1" customWidth="1"/>
    <col min="2" max="2" width="10.33203125" style="8" bestFit="1" customWidth="1"/>
    <col min="3" max="3" width="12.109375" style="9" bestFit="1" customWidth="1"/>
    <col min="4" max="4" width="7.6640625" style="9" bestFit="1" customWidth="1"/>
    <col min="5" max="5" width="12.109375" style="7" bestFit="1" customWidth="1"/>
    <col min="6" max="6" width="14.44140625" style="7" bestFit="1" customWidth="1"/>
    <col min="7" max="7" width="12.109375" style="9" bestFit="1" customWidth="1"/>
    <col min="8" max="8" width="9.77734375" style="9" bestFit="1" customWidth="1"/>
    <col min="9" max="9" width="15.5546875" style="7" bestFit="1" customWidth="1"/>
    <col min="10" max="10" width="18.88671875" style="7" bestFit="1" customWidth="1"/>
    <col min="11" max="11" width="8.21875" style="7" bestFit="1" customWidth="1"/>
    <col min="12" max="12" width="13.21875" style="7" bestFit="1" customWidth="1"/>
    <col min="13" max="16384" width="8.88671875" style="7"/>
  </cols>
  <sheetData>
    <row r="1" spans="1:12" x14ac:dyDescent="0.3">
      <c r="A1" s="1" t="s">
        <v>0</v>
      </c>
      <c r="B1" s="4" t="s">
        <v>1</v>
      </c>
      <c r="C1" s="5" t="s">
        <v>2</v>
      </c>
      <c r="D1" s="5" t="s">
        <v>3</v>
      </c>
      <c r="E1" s="1" t="s">
        <v>4</v>
      </c>
      <c r="F1" s="1" t="s">
        <v>5</v>
      </c>
      <c r="G1" s="5" t="s">
        <v>6</v>
      </c>
      <c r="H1" s="5" t="s">
        <v>7</v>
      </c>
      <c r="I1" s="5" t="s">
        <v>15</v>
      </c>
      <c r="J1" s="5" t="s">
        <v>16</v>
      </c>
      <c r="K1" s="10" t="s">
        <v>17</v>
      </c>
      <c r="L1" s="10" t="s">
        <v>33</v>
      </c>
    </row>
    <row r="2" spans="1:12" x14ac:dyDescent="0.3">
      <c r="A2" s="2">
        <v>5001</v>
      </c>
      <c r="B2" s="3">
        <v>46122</v>
      </c>
      <c r="C2" s="6" t="s">
        <v>8</v>
      </c>
      <c r="D2" s="6" t="s">
        <v>9</v>
      </c>
      <c r="E2" s="2">
        <v>5</v>
      </c>
      <c r="F2" s="2">
        <v>180</v>
      </c>
      <c r="G2" s="6" t="s">
        <v>10</v>
      </c>
      <c r="H2" s="6" t="s">
        <v>11</v>
      </c>
      <c r="I2" s="7">
        <f>IF(G2="Yes",1,0)</f>
        <v>1</v>
      </c>
      <c r="J2" s="7">
        <f>IF(H2="Yes",1,0)</f>
        <v>0</v>
      </c>
      <c r="K2" s="7">
        <f>I2</f>
        <v>1</v>
      </c>
      <c r="L2" s="7">
        <f>J2</f>
        <v>0</v>
      </c>
    </row>
    <row r="3" spans="1:12" x14ac:dyDescent="0.3">
      <c r="A3" s="2">
        <v>5002</v>
      </c>
      <c r="B3" s="3">
        <v>46122</v>
      </c>
      <c r="C3" s="6" t="s">
        <v>12</v>
      </c>
      <c r="D3" s="6" t="s">
        <v>13</v>
      </c>
      <c r="E3" s="2">
        <v>8</v>
      </c>
      <c r="F3" s="2">
        <v>300</v>
      </c>
      <c r="G3" s="6" t="s">
        <v>10</v>
      </c>
      <c r="H3" s="6" t="s">
        <v>10</v>
      </c>
      <c r="I3" s="7">
        <f t="shared" ref="I3:I11" si="0">IF(G3="Yes",1,0)</f>
        <v>1</v>
      </c>
      <c r="J3" s="7">
        <f t="shared" ref="J3:J11" si="1">IF(H3="Yes",1,0)</f>
        <v>1</v>
      </c>
      <c r="K3" s="7">
        <f t="shared" ref="K3:K11" si="2">I3</f>
        <v>1</v>
      </c>
      <c r="L3" s="7">
        <f t="shared" ref="L3:L11" si="3">J3</f>
        <v>1</v>
      </c>
    </row>
    <row r="4" spans="1:12" x14ac:dyDescent="0.3">
      <c r="A4" s="2">
        <v>5003</v>
      </c>
      <c r="B4" s="3">
        <v>46123</v>
      </c>
      <c r="C4" s="6" t="s">
        <v>14</v>
      </c>
      <c r="D4" s="6" t="s">
        <v>9</v>
      </c>
      <c r="E4" s="2">
        <v>3</v>
      </c>
      <c r="F4" s="2">
        <v>90</v>
      </c>
      <c r="G4" s="6" t="s">
        <v>11</v>
      </c>
      <c r="H4" s="6" t="s">
        <v>11</v>
      </c>
      <c r="I4" s="7">
        <f t="shared" si="0"/>
        <v>0</v>
      </c>
      <c r="J4" s="7">
        <f t="shared" si="1"/>
        <v>0</v>
      </c>
      <c r="K4" s="7">
        <f t="shared" si="2"/>
        <v>0</v>
      </c>
      <c r="L4" s="7">
        <f t="shared" si="3"/>
        <v>0</v>
      </c>
    </row>
    <row r="5" spans="1:12" x14ac:dyDescent="0.3">
      <c r="A5" s="2">
        <v>5004</v>
      </c>
      <c r="B5" s="3">
        <v>46123</v>
      </c>
      <c r="C5" s="6" t="s">
        <v>8</v>
      </c>
      <c r="D5" s="6" t="s">
        <v>13</v>
      </c>
      <c r="E5" s="2">
        <v>6</v>
      </c>
      <c r="F5" s="2">
        <v>210</v>
      </c>
      <c r="G5" s="6" t="s">
        <v>10</v>
      </c>
      <c r="H5" s="6" t="s">
        <v>10</v>
      </c>
      <c r="I5" s="7">
        <f t="shared" si="0"/>
        <v>1</v>
      </c>
      <c r="J5" s="7">
        <f t="shared" si="1"/>
        <v>1</v>
      </c>
      <c r="K5" s="7">
        <f t="shared" si="2"/>
        <v>1</v>
      </c>
      <c r="L5" s="7">
        <f t="shared" si="3"/>
        <v>1</v>
      </c>
    </row>
    <row r="6" spans="1:12" x14ac:dyDescent="0.3">
      <c r="A6" s="2">
        <v>5005</v>
      </c>
      <c r="B6" s="3">
        <v>46124</v>
      </c>
      <c r="C6" s="6" t="s">
        <v>12</v>
      </c>
      <c r="D6" s="6" t="s">
        <v>9</v>
      </c>
      <c r="E6" s="2">
        <v>4</v>
      </c>
      <c r="F6" s="2">
        <v>150</v>
      </c>
      <c r="G6" s="6" t="s">
        <v>10</v>
      </c>
      <c r="H6" s="6" t="s">
        <v>11</v>
      </c>
      <c r="I6" s="7">
        <f t="shared" si="0"/>
        <v>1</v>
      </c>
      <c r="J6" s="7">
        <f t="shared" si="1"/>
        <v>0</v>
      </c>
      <c r="K6" s="7">
        <f t="shared" si="2"/>
        <v>1</v>
      </c>
      <c r="L6" s="7">
        <f t="shared" si="3"/>
        <v>0</v>
      </c>
    </row>
    <row r="7" spans="1:12" x14ac:dyDescent="0.3">
      <c r="A7" s="2">
        <v>5006</v>
      </c>
      <c r="B7" s="3">
        <v>46124</v>
      </c>
      <c r="C7" s="6" t="s">
        <v>14</v>
      </c>
      <c r="D7" s="6" t="s">
        <v>13</v>
      </c>
      <c r="E7" s="2">
        <v>7</v>
      </c>
      <c r="F7" s="2">
        <v>250</v>
      </c>
      <c r="G7" s="6" t="s">
        <v>11</v>
      </c>
      <c r="H7" s="6" t="s">
        <v>11</v>
      </c>
      <c r="I7" s="7">
        <f t="shared" si="0"/>
        <v>0</v>
      </c>
      <c r="J7" s="7">
        <f t="shared" si="1"/>
        <v>0</v>
      </c>
      <c r="K7" s="7">
        <f t="shared" si="2"/>
        <v>0</v>
      </c>
      <c r="L7" s="7">
        <f t="shared" si="3"/>
        <v>0</v>
      </c>
    </row>
    <row r="8" spans="1:12" x14ac:dyDescent="0.3">
      <c r="A8" s="2">
        <v>5007</v>
      </c>
      <c r="B8" s="3">
        <v>46125</v>
      </c>
      <c r="C8" s="6" t="s">
        <v>8</v>
      </c>
      <c r="D8" s="6" t="s">
        <v>9</v>
      </c>
      <c r="E8" s="2">
        <v>5</v>
      </c>
      <c r="F8" s="2">
        <v>200</v>
      </c>
      <c r="G8" s="6" t="s">
        <v>10</v>
      </c>
      <c r="H8" s="6" t="s">
        <v>10</v>
      </c>
      <c r="I8" s="7">
        <f t="shared" si="0"/>
        <v>1</v>
      </c>
      <c r="J8" s="7">
        <f t="shared" si="1"/>
        <v>1</v>
      </c>
      <c r="K8" s="7">
        <f t="shared" si="2"/>
        <v>1</v>
      </c>
      <c r="L8" s="7">
        <f t="shared" si="3"/>
        <v>1</v>
      </c>
    </row>
    <row r="9" spans="1:12" x14ac:dyDescent="0.3">
      <c r="A9" s="2">
        <v>5008</v>
      </c>
      <c r="B9" s="3">
        <v>46125</v>
      </c>
      <c r="C9" s="6" t="s">
        <v>12</v>
      </c>
      <c r="D9" s="6" t="s">
        <v>13</v>
      </c>
      <c r="E9" s="2">
        <v>9</v>
      </c>
      <c r="F9" s="2">
        <v>320</v>
      </c>
      <c r="G9" s="6" t="s">
        <v>10</v>
      </c>
      <c r="H9" s="6" t="s">
        <v>10</v>
      </c>
      <c r="I9" s="7">
        <f t="shared" si="0"/>
        <v>1</v>
      </c>
      <c r="J9" s="7">
        <f t="shared" si="1"/>
        <v>1</v>
      </c>
      <c r="K9" s="7">
        <f t="shared" si="2"/>
        <v>1</v>
      </c>
      <c r="L9" s="7">
        <f t="shared" si="3"/>
        <v>1</v>
      </c>
    </row>
    <row r="10" spans="1:12" x14ac:dyDescent="0.3">
      <c r="A10" s="2">
        <v>5009</v>
      </c>
      <c r="B10" s="3">
        <v>46126</v>
      </c>
      <c r="C10" s="6" t="s">
        <v>14</v>
      </c>
      <c r="D10" s="6" t="s">
        <v>9</v>
      </c>
      <c r="E10" s="2">
        <v>2</v>
      </c>
      <c r="F10" s="2">
        <v>60</v>
      </c>
      <c r="G10" s="6" t="s">
        <v>11</v>
      </c>
      <c r="H10" s="6" t="s">
        <v>11</v>
      </c>
      <c r="I10" s="7">
        <f t="shared" si="0"/>
        <v>0</v>
      </c>
      <c r="J10" s="7">
        <f t="shared" si="1"/>
        <v>0</v>
      </c>
      <c r="K10" s="7">
        <f t="shared" si="2"/>
        <v>0</v>
      </c>
      <c r="L10" s="7">
        <f t="shared" si="3"/>
        <v>0</v>
      </c>
    </row>
    <row r="11" spans="1:12" x14ac:dyDescent="0.3">
      <c r="A11" s="2">
        <v>5010</v>
      </c>
      <c r="B11" s="3">
        <v>46126</v>
      </c>
      <c r="C11" s="6" t="s">
        <v>8</v>
      </c>
      <c r="D11" s="6" t="s">
        <v>13</v>
      </c>
      <c r="E11" s="2">
        <v>6</v>
      </c>
      <c r="F11" s="2">
        <v>220</v>
      </c>
      <c r="G11" s="6" t="s">
        <v>10</v>
      </c>
      <c r="H11" s="6" t="s">
        <v>10</v>
      </c>
      <c r="I11" s="7">
        <f t="shared" si="0"/>
        <v>1</v>
      </c>
      <c r="J11" s="7">
        <f t="shared" si="1"/>
        <v>1</v>
      </c>
      <c r="K11" s="7">
        <f t="shared" si="2"/>
        <v>1</v>
      </c>
      <c r="L11" s="7">
        <f t="shared" si="3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Conversion rate by TrafficSourc</vt:lpstr>
      <vt:lpstr>Conversion rate by Date</vt:lpstr>
      <vt:lpstr>Conversion rate by Device</vt:lpstr>
      <vt:lpstr>Avg TimeOnSite_sec by TrafficSo</vt:lpstr>
      <vt:lpstr>Metrics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swaroopa balgari</dc:creator>
  <cp:lastModifiedBy>swaroopa balgari</cp:lastModifiedBy>
  <dcterms:created xsi:type="dcterms:W3CDTF">2026-04-16T13:07:15Z</dcterms:created>
  <dcterms:modified xsi:type="dcterms:W3CDTF">2026-04-17T10:24:29Z</dcterms:modified>
</cp:coreProperties>
</file>