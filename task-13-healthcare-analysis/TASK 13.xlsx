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ebd91e607248c2/TASKS/TASK 13/"/>
    </mc:Choice>
  </mc:AlternateContent>
  <xr:revisionPtr revIDLastSave="2" documentId="8_{0DAD99B2-A6AE-4A60-ABC4-E536325CE997}" xr6:coauthVersionLast="47" xr6:coauthVersionMax="47" xr10:uidLastSave="{17B40C4C-233B-48B1-9EBC-3E33006E9139}"/>
  <bookViews>
    <workbookView xWindow="-108" yWindow="-108" windowWidth="23256" windowHeight="12456" firstSheet="4" activeTab="6" xr2:uid="{444CB603-B7BB-45FA-8825-44FE9E7C6DD9}"/>
  </bookViews>
  <sheets>
    <sheet name="Avg WaitTime by Department" sheetId="2" r:id="rId1"/>
    <sheet name="Avg SatisfactionScore by WaitCa" sheetId="3" r:id="rId2"/>
    <sheet name="Avg PatientsPerHour by DoctorID" sheetId="4" r:id="rId3"/>
    <sheet name="EfficiencyScore by Department" sheetId="5" r:id="rId4"/>
    <sheet name="Avg waitTime by SatisfactionCat" sheetId="6" r:id="rId5"/>
    <sheet name="Avg WaitTime by DayType" sheetId="7" r:id="rId6"/>
    <sheet name="Dataset" sheetId="1" r:id="rId7"/>
  </sheets>
  <calcPr calcId="191029"/>
  <pivotCaches>
    <pivotCache cacheId="0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4" i="6" l="1"/>
  <c r="B12" i="7"/>
  <c r="B9" i="7"/>
  <c r="B10" i="6"/>
  <c r="B15" i="5"/>
  <c r="B11" i="5"/>
  <c r="B15" i="4"/>
  <c r="B11" i="4"/>
  <c r="B15" i="3"/>
  <c r="B11" i="3"/>
  <c r="B14" i="2"/>
  <c r="B10" i="2"/>
  <c r="K3" i="1"/>
  <c r="K4" i="1"/>
  <c r="K5" i="1"/>
  <c r="K6" i="1"/>
  <c r="K7" i="1"/>
  <c r="K8" i="1"/>
  <c r="K9" i="1"/>
  <c r="K10" i="1"/>
  <c r="K11" i="1"/>
  <c r="K2" i="1"/>
  <c r="J3" i="1"/>
  <c r="J4" i="1"/>
  <c r="J5" i="1"/>
  <c r="J6" i="1"/>
  <c r="J7" i="1"/>
  <c r="J8" i="1"/>
  <c r="J9" i="1"/>
  <c r="J10" i="1"/>
  <c r="J11" i="1"/>
  <c r="J2" i="1"/>
  <c r="I3" i="1"/>
  <c r="I4" i="1"/>
  <c r="I5" i="1"/>
  <c r="I6" i="1"/>
  <c r="I7" i="1"/>
  <c r="I8" i="1"/>
  <c r="I9" i="1"/>
  <c r="I10" i="1"/>
  <c r="I11" i="1"/>
  <c r="I2" i="1"/>
</calcChain>
</file>

<file path=xl/sharedStrings.xml><?xml version="1.0" encoding="utf-8"?>
<sst xmlns="http://schemas.openxmlformats.org/spreadsheetml/2006/main" count="88" uniqueCount="39">
  <si>
    <t>VisitID</t>
  </si>
  <si>
    <t>Department</t>
  </si>
  <si>
    <t>DoctorID</t>
  </si>
  <si>
    <t>PatientsPerHour</t>
  </si>
  <si>
    <t>DayType</t>
  </si>
  <si>
    <t>SatisfactionScore</t>
  </si>
  <si>
    <t>Cardiology</t>
  </si>
  <si>
    <t>D1</t>
  </si>
  <si>
    <t>Weekday</t>
  </si>
  <si>
    <t>Orthopedics</t>
  </si>
  <si>
    <t>D2</t>
  </si>
  <si>
    <t>General</t>
  </si>
  <si>
    <t>D3</t>
  </si>
  <si>
    <t>Weekend</t>
  </si>
  <si>
    <t>EfficiencyScore</t>
  </si>
  <si>
    <t>WaitCategory</t>
  </si>
  <si>
    <t>SatisfactionCategory</t>
  </si>
  <si>
    <t>Grand Total</t>
  </si>
  <si>
    <t>Avg of WaitTime (mins)</t>
  </si>
  <si>
    <t>What's the Waiting time (min) of Orthopedics</t>
  </si>
  <si>
    <t>Which department has longest waitTime(min)</t>
  </si>
  <si>
    <t>High</t>
  </si>
  <si>
    <t>Low</t>
  </si>
  <si>
    <t>Medium</t>
  </si>
  <si>
    <t>Avg of SatisfactionScore</t>
  </si>
  <si>
    <t>What's the lowest satisfactionscore</t>
  </si>
  <si>
    <t>Avg of PatientsPerHour</t>
  </si>
  <si>
    <t xml:space="preserve">What's the value of patients visiting by DoctorID D3 </t>
  </si>
  <si>
    <t>Sum of EfficiencyScore</t>
  </si>
  <si>
    <t>Which department has highest EfficiencyScore</t>
  </si>
  <si>
    <t xml:space="preserve">What's the General department EfficiencyScore </t>
  </si>
  <si>
    <t>Which SatisfactionCategory has lowest waitTime</t>
  </si>
  <si>
    <t>What’s the value of SatisfactionCategory "High"</t>
  </si>
  <si>
    <t>Which DayType has lowest avg WaitTime</t>
  </si>
  <si>
    <t>What's the value of weekend avg waitTime</t>
  </si>
  <si>
    <t>Which WaitCategory has lowest satisfactionscore</t>
  </si>
  <si>
    <t>Which DoctorID has high no of patients visiting</t>
  </si>
  <si>
    <t>AvgConsultTime(mins)</t>
  </si>
  <si>
    <t>WaitTime(mins)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</si>
</sst>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" fontId="1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pivotButton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Normal" xfId="0" builtinId="0"/>
  </cellStyles>
  <dxfs count="82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13.xlsx]Avg WaitTime by Department!PivotTable1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WaitTime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5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5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5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'Avg WaitTime by Department'!$B$3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5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17C-4D28-8357-DAD430A0574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17C-4D28-8357-DAD430A0574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17C-4D28-8357-DAD430A05744}"/>
              </c:ext>
            </c:extLst>
          </c:dPt>
          <c:cat>
            <c:strRef>
              <c:f>'Avg WaitTime by Department'!$A$4:$A$7</c:f>
              <c:strCache>
                <c:ptCount val="3"/>
                <c:pt idx="0">
                  <c:v>Orthopedics</c:v>
                </c:pt>
                <c:pt idx="1">
                  <c:v>Cardiology</c:v>
                </c:pt>
                <c:pt idx="2">
                  <c:v>General</c:v>
                </c:pt>
              </c:strCache>
            </c:strRef>
          </c:cat>
          <c:val>
            <c:numRef>
              <c:f>'Avg WaitTime by Department'!$B$4:$B$7</c:f>
              <c:numCache>
                <c:formatCode>0.00</c:formatCode>
                <c:ptCount val="3"/>
                <c:pt idx="0">
                  <c:v>34</c:v>
                </c:pt>
                <c:pt idx="1">
                  <c:v>31.5</c:v>
                </c:pt>
                <c:pt idx="2">
                  <c:v>17.666666666666668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7C-4D28-8357-DAD430A057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4352351"/>
        <c:axId val="204352831"/>
      </c:barChart>
      <c:catAx>
        <c:axId val="2043523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52831"/>
        <c:crosses val="autoZero"/>
        <c:auto val="1"/>
        <c:lblAlgn val="ctr"/>
        <c:lblOffset val="100"/>
        <c:noMultiLvlLbl val="0"/>
      </c:catAx>
      <c:valAx>
        <c:axId val="204352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523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13.xlsx]Avg SatisfactionScore by WaitCa!PivotTable2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SatisfactionScore by WaitCategory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6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'Avg SatisfactionScore by WaitCa'!$B$3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E85A-4A35-8FBB-842F5D00F17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5A-4A35-8FBB-842F5D00F17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85A-4A35-8FBB-842F5D00F173}"/>
              </c:ext>
            </c:extLst>
          </c:dPt>
          <c:cat>
            <c:strRef>
              <c:f>'Avg SatisfactionScore by WaitCa'!$A$4:$A$7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'Avg SatisfactionScore by WaitCa'!$B$4:$B$7</c:f>
              <c:numCache>
                <c:formatCode>0.00</c:formatCode>
                <c:ptCount val="3"/>
                <c:pt idx="0">
                  <c:v>2</c:v>
                </c:pt>
                <c:pt idx="1">
                  <c:v>3</c:v>
                </c:pt>
                <c:pt idx="2">
                  <c:v>4.333333333333333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5A-4A35-8FBB-842F5D00F1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58348319"/>
        <c:axId val="160505103"/>
      </c:barChart>
      <c:catAx>
        <c:axId val="15834831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505103"/>
        <c:crosses val="autoZero"/>
        <c:auto val="1"/>
        <c:lblAlgn val="ctr"/>
        <c:lblOffset val="100"/>
        <c:noMultiLvlLbl val="0"/>
      </c:catAx>
      <c:valAx>
        <c:axId val="1605051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348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13.xlsx]Avg PatientsPerHour by DoctorID!PivotTable3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PatientsPerHour by DoctorID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4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4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4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'Avg PatientsPerHour by DoctorID'!$B$3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4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B752-4DDD-B4AE-0D62510D4980}"/>
              </c:ext>
            </c:extLst>
          </c:dPt>
          <c:dPt>
            <c:idx val="1"/>
            <c:bubble3D val="0"/>
            <c:spPr>
              <a:solidFill>
                <a:schemeClr val="accent4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752-4DDD-B4AE-0D62510D4980}"/>
              </c:ext>
            </c:extLst>
          </c:dPt>
          <c:dPt>
            <c:idx val="2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B752-4DDD-B4AE-0D62510D4980}"/>
              </c:ext>
            </c:extLst>
          </c:dPt>
          <c:cat>
            <c:strRef>
              <c:f>'Avg PatientsPerHour by DoctorID'!$A$4:$A$7</c:f>
              <c:strCache>
                <c:ptCount val="3"/>
                <c:pt idx="0">
                  <c:v>D3</c:v>
                </c:pt>
                <c:pt idx="1">
                  <c:v>D1</c:v>
                </c:pt>
                <c:pt idx="2">
                  <c:v>D2</c:v>
                </c:pt>
              </c:strCache>
            </c:strRef>
          </c:cat>
          <c:val>
            <c:numRef>
              <c:f>'Avg PatientsPerHour by DoctorID'!$B$4:$B$7</c:f>
              <c:numCache>
                <c:formatCode>0.00</c:formatCode>
                <c:ptCount val="3"/>
                <c:pt idx="0">
                  <c:v>8.3333333333333339</c:v>
                </c:pt>
                <c:pt idx="1">
                  <c:v>6.5</c:v>
                </c:pt>
                <c:pt idx="2">
                  <c:v>4.666666666666667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52-4DDD-B4AE-0D62510D49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13.xlsx]EfficiencyScore by Department!PivotTable4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EfficiencyScore by Department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50000"/>
            </a:schemeClr>
          </a:solidFill>
          <a:ln>
            <a:noFill/>
          </a:ln>
          <a:effectLst/>
        </c:spPr>
      </c:pivotFmt>
      <c:pivotFmt>
        <c:idx val="2"/>
        <c:spPr>
          <a:solidFill>
            <a:schemeClr val="accent2">
              <a:lumMod val="75000"/>
            </a:schemeClr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'EfficiencyScore by Department'!$B$3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8C62-4D2D-AFA4-7DE0DD363EB8}"/>
              </c:ext>
            </c:extLst>
          </c:dPt>
          <c:dPt>
            <c:idx val="1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C62-4D2D-AFA4-7DE0DD363EB8}"/>
              </c:ext>
            </c:extLst>
          </c:dPt>
          <c:dPt>
            <c:idx val="2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8C62-4D2D-AFA4-7DE0DD363EB8}"/>
              </c:ext>
            </c:extLst>
          </c:dPt>
          <c:cat>
            <c:strRef>
              <c:f>'EfficiencyScore by Department'!$A$4:$A$7</c:f>
              <c:strCache>
                <c:ptCount val="3"/>
                <c:pt idx="0">
                  <c:v>General</c:v>
                </c:pt>
                <c:pt idx="1">
                  <c:v>Cardiology</c:v>
                </c:pt>
                <c:pt idx="2">
                  <c:v>Orthopedics</c:v>
                </c:pt>
              </c:strCache>
            </c:strRef>
          </c:cat>
          <c:val>
            <c:numRef>
              <c:f>'EfficiencyScore by Department'!$B$4:$B$7</c:f>
              <c:numCache>
                <c:formatCode>0.00</c:formatCode>
                <c:ptCount val="3"/>
                <c:pt idx="0">
                  <c:v>3.1746031746031744</c:v>
                </c:pt>
                <c:pt idx="1">
                  <c:v>2.4727272727272727</c:v>
                </c:pt>
                <c:pt idx="2">
                  <c:v>1.0679487179487179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62-4D2D-AFA4-7DE0DD363E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13.xlsx]Avg waitTime by SatisfactionCat!PivotTable5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waitTime by SatisfactionCategory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50000"/>
            </a:schemeClr>
          </a:solidFill>
          <a:ln>
            <a:noFill/>
          </a:ln>
          <a:effectLst/>
          <a:sp3d/>
        </c:spPr>
      </c:pivotFmt>
      <c:pivotFmt>
        <c:idx val="2"/>
        <c:spPr>
          <a:solidFill>
            <a:schemeClr val="accent1">
              <a:lumMod val="75000"/>
            </a:schemeClr>
          </a:solidFill>
          <a:ln>
            <a:noFill/>
          </a:ln>
          <a:effectLst/>
          <a:sp3d/>
        </c:spPr>
      </c:pivotFmt>
      <c:pivotFmt>
        <c:idx val="3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675894286799056"/>
          <c:y val="0.13166489172878948"/>
          <c:w val="0.86556810115716654"/>
          <c:h val="0.8037335189331366"/>
        </c:manualLayout>
      </c:layout>
      <c:bar3DChart>
        <c:barDir val="bar"/>
        <c:grouping val="clustered"/>
        <c:varyColors val="1"/>
        <c:ser>
          <c:idx val="0"/>
          <c:order val="0"/>
          <c:tx>
            <c:strRef>
              <c:f>'Avg waitTime by SatisfactionCat'!$B$3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2-38BF-4608-9A1C-BEE083D3518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3-38BF-4608-9A1C-BEE083D3518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38BF-4608-9A1C-BEE083D35187}"/>
              </c:ext>
            </c:extLst>
          </c:dPt>
          <c:cat>
            <c:strRef>
              <c:f>'Avg waitTime by SatisfactionCat'!$A$4:$A$7</c:f>
              <c:strCache>
                <c:ptCount val="3"/>
                <c:pt idx="0">
                  <c:v>High</c:v>
                </c:pt>
                <c:pt idx="1">
                  <c:v>Medium</c:v>
                </c:pt>
                <c:pt idx="2">
                  <c:v>Low</c:v>
                </c:pt>
              </c:strCache>
            </c:strRef>
          </c:cat>
          <c:val>
            <c:numRef>
              <c:f>'Avg waitTime by SatisfactionCat'!$B$4:$B$7</c:f>
              <c:numCache>
                <c:formatCode>0</c:formatCode>
                <c:ptCount val="3"/>
                <c:pt idx="0">
                  <c:v>15</c:v>
                </c:pt>
                <c:pt idx="1">
                  <c:v>25.5</c:v>
                </c:pt>
                <c:pt idx="2">
                  <c:v>37.666666666666664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BF-4608-9A1C-BEE083D351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900604143"/>
        <c:axId val="1900604623"/>
        <c:axId val="0"/>
      </c:bar3DChart>
      <c:catAx>
        <c:axId val="1900604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04623"/>
        <c:crosses val="autoZero"/>
        <c:auto val="1"/>
        <c:lblAlgn val="ctr"/>
        <c:lblOffset val="100"/>
        <c:noMultiLvlLbl val="0"/>
      </c:catAx>
      <c:valAx>
        <c:axId val="19006046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0604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13.xlsx]Avg WaitTime by DayType!PivotTable6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WaitTime by DayType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>
              <a:lumMod val="500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tx2">
              <a:lumMod val="75000"/>
            </a:schemeClr>
          </a:solidFill>
          <a:ln>
            <a:noFill/>
          </a:ln>
          <a:effectLst/>
          <a:sp3d/>
        </c:spPr>
      </c:pivotFmt>
      <c:pivotFmt>
        <c:idx val="4"/>
        <c:spPr>
          <a:solidFill>
            <a:schemeClr val="tx2">
              <a:lumMod val="50000"/>
            </a:schemeClr>
          </a:solidFill>
          <a:ln>
            <a:noFill/>
          </a:ln>
          <a:effectLst/>
          <a:sp3d/>
        </c:spPr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8569187003798432E-2"/>
          <c:y val="0.11875616979269497"/>
          <c:w val="0.92143081299620155"/>
          <c:h val="0.81807085318678696"/>
        </c:manualLayout>
      </c:layout>
      <c:bar3DChart>
        <c:barDir val="col"/>
        <c:grouping val="clustered"/>
        <c:varyColors val="1"/>
        <c:ser>
          <c:idx val="0"/>
          <c:order val="0"/>
          <c:tx>
            <c:strRef>
              <c:f>'Avg WaitTime by DayType'!$B$3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>
                <a:lumMod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1-F0AC-4F45-ADBF-A307DCF2FD3C}"/>
              </c:ext>
            </c:extLst>
          </c:dPt>
          <c:dPt>
            <c:idx val="1"/>
            <c:invertIfNegative val="0"/>
            <c:bubble3D val="0"/>
            <c:spPr>
              <a:solidFill>
                <a:schemeClr val="tx2">
                  <a:lumMod val="7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B884-4F77-AA60-D19DDA9B487A}"/>
              </c:ext>
            </c:extLst>
          </c:dPt>
          <c:cat>
            <c:strRef>
              <c:f>'Avg WaitTime by DayType'!$A$4:$A$6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'Avg WaitTime by DayType'!$B$4:$B$6</c:f>
              <c:numCache>
                <c:formatCode>0.00</c:formatCode>
                <c:ptCount val="2"/>
                <c:pt idx="0">
                  <c:v>29.166666666666668</c:v>
                </c:pt>
                <c:pt idx="1">
                  <c:v>26.5</c:v>
                </c:pt>
              </c:numCache>
            </c:numRef>
          </c:val>
          <c:shape val="cylinder"/>
          <c:extLst>
            <c:ext xmlns:c16="http://schemas.microsoft.com/office/drawing/2014/chart" uri="{C3380CC4-5D6E-409C-BE32-E72D297353CC}">
              <c16:uniqueId val="{00000003-B884-4F77-AA60-D19DDA9B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205043343"/>
        <c:axId val="205044303"/>
        <c:axId val="0"/>
      </c:bar3DChart>
      <c:catAx>
        <c:axId val="205043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4303"/>
        <c:crosses val="autoZero"/>
        <c:auto val="1"/>
        <c:lblAlgn val="ctr"/>
        <c:lblOffset val="100"/>
        <c:noMultiLvlLbl val="0"/>
      </c:catAx>
      <c:valAx>
        <c:axId val="205044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043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2</xdr:row>
      <xdr:rowOff>11430</xdr:rowOff>
    </xdr:from>
    <xdr:to>
      <xdr:col>10</xdr:col>
      <xdr:colOff>594360</xdr:colOff>
      <xdr:row>18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8810F4-8D36-90B1-1696-7EE0B434A6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1</xdr:row>
      <xdr:rowOff>163830</xdr:rowOff>
    </xdr:from>
    <xdr:to>
      <xdr:col>11</xdr:col>
      <xdr:colOff>289560</xdr:colOff>
      <xdr:row>19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098E6A-F088-B781-D93B-20CF5A85B4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594360</xdr:colOff>
      <xdr:row>2</xdr:row>
      <xdr:rowOff>87630</xdr:rowOff>
    </xdr:from>
    <xdr:to>
      <xdr:col>11</xdr:col>
      <xdr:colOff>289560</xdr:colOff>
      <xdr:row>17</xdr:row>
      <xdr:rowOff>87630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6B74CE-BD6D-32B2-F94C-2A2A1B0277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228600</xdr:colOff>
      <xdr:row>1</xdr:row>
      <xdr:rowOff>179070</xdr:rowOff>
    </xdr:from>
    <xdr:to>
      <xdr:col>11</xdr:col>
      <xdr:colOff>312420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FBDB8E-6E76-DD50-EC97-E3D8506F10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</xdr:colOff>
      <xdr:row>1</xdr:row>
      <xdr:rowOff>179070</xdr:rowOff>
    </xdr:from>
    <xdr:to>
      <xdr:col>11</xdr:col>
      <xdr:colOff>594360</xdr:colOff>
      <xdr:row>21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B666A2D-B09F-FFCB-6443-1909785C7A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</xdr:row>
      <xdr:rowOff>3810</xdr:rowOff>
    </xdr:from>
    <xdr:to>
      <xdr:col>12</xdr:col>
      <xdr:colOff>38100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CEAC44-571A-B537-380A-E2D1A813F5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58.680072800926" createdVersion="8" refreshedVersion="8" minRefreshableVersion="3" recordCount="10" xr:uid="{54F59938-C9C0-45A5-9965-1D2A347C0BD4}">
  <cacheSource type="worksheet">
    <worksheetSource ref="A1:K11" sheet="Dataset"/>
  </cacheSource>
  <cacheFields count="11">
    <cacheField name="VisitID" numFmtId="1">
      <sharedItems containsSemiMixedTypes="0" containsString="0" containsNumber="1" containsInteger="1" minValue="10001" maxValue="10010"/>
    </cacheField>
    <cacheField name="Department" numFmtId="49">
      <sharedItems count="3">
        <s v="Cardiology"/>
        <s v="Orthopedics"/>
        <s v="General"/>
      </sharedItems>
    </cacheField>
    <cacheField name="DoctorID" numFmtId="49">
      <sharedItems count="3">
        <s v="D1"/>
        <s v="D2"/>
        <s v="D3"/>
      </sharedItems>
    </cacheField>
    <cacheField name="PatientsPerHour" numFmtId="1">
      <sharedItems containsSemiMixedTypes="0" containsString="0" containsNumber="1" containsInteger="1" minValue="4" maxValue="9"/>
    </cacheField>
    <cacheField name="AvgConsultTime (mins)" numFmtId="1">
      <sharedItems containsSemiMixedTypes="0" containsString="0" containsNumber="1" containsInteger="1" minValue="7" maxValue="15"/>
    </cacheField>
    <cacheField name="WaitTime (mins)" numFmtId="1">
      <sharedItems containsSemiMixedTypes="0" containsString="0" containsNumber="1" containsInteger="1" minValue="15" maxValue="40"/>
    </cacheField>
    <cacheField name="DayType" numFmtId="49">
      <sharedItems count="2">
        <s v="Weekday"/>
        <s v="Weekend"/>
      </sharedItems>
    </cacheField>
    <cacheField name="SatisfactionScore" numFmtId="1">
      <sharedItems containsSemiMixedTypes="0" containsString="0" containsNumber="1" containsInteger="1" minValue="2" maxValue="5"/>
    </cacheField>
    <cacheField name="EfficiencyScore" numFmtId="2">
      <sharedItems containsSemiMixedTypes="0" containsString="0" containsNumber="1" minValue="0.26666666666666666" maxValue="1.2857142857142858"/>
    </cacheField>
    <cacheField name="WaitCategory" numFmtId="49">
      <sharedItems count="3">
        <s v="Medium"/>
        <s v="Low"/>
        <s v="High"/>
      </sharedItems>
    </cacheField>
    <cacheField name="SatisfactionCategory" numFmtId="49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0001"/>
    <x v="0"/>
    <x v="0"/>
    <n v="6"/>
    <n v="10"/>
    <n v="25"/>
    <x v="0"/>
    <n v="4"/>
    <n v="0.6"/>
    <x v="0"/>
    <x v="0"/>
  </r>
  <r>
    <n v="10002"/>
    <x v="1"/>
    <x v="1"/>
    <n v="5"/>
    <n v="12"/>
    <n v="30"/>
    <x v="0"/>
    <n v="3"/>
    <n v="0.41666666666666669"/>
    <x v="0"/>
    <x v="0"/>
  </r>
  <r>
    <n v="10003"/>
    <x v="2"/>
    <x v="2"/>
    <n v="8"/>
    <n v="8"/>
    <n v="20"/>
    <x v="1"/>
    <n v="4"/>
    <n v="1"/>
    <x v="1"/>
    <x v="0"/>
  </r>
  <r>
    <n v="10004"/>
    <x v="0"/>
    <x v="0"/>
    <n v="7"/>
    <n v="11"/>
    <n v="35"/>
    <x v="0"/>
    <n v="2"/>
    <n v="0.63636363636363635"/>
    <x v="0"/>
    <x v="1"/>
  </r>
  <r>
    <n v="10005"/>
    <x v="1"/>
    <x v="1"/>
    <n v="4"/>
    <n v="15"/>
    <n v="40"/>
    <x v="1"/>
    <n v="2"/>
    <n v="0.26666666666666666"/>
    <x v="2"/>
    <x v="1"/>
  </r>
  <r>
    <n v="10006"/>
    <x v="2"/>
    <x v="2"/>
    <n v="9"/>
    <n v="7"/>
    <n v="15"/>
    <x v="0"/>
    <n v="5"/>
    <n v="1.2857142857142858"/>
    <x v="1"/>
    <x v="2"/>
  </r>
  <r>
    <n v="10007"/>
    <x v="0"/>
    <x v="0"/>
    <n v="6"/>
    <n v="10"/>
    <n v="28"/>
    <x v="1"/>
    <n v="3"/>
    <n v="0.6"/>
    <x v="0"/>
    <x v="0"/>
  </r>
  <r>
    <n v="10008"/>
    <x v="1"/>
    <x v="1"/>
    <n v="5"/>
    <n v="13"/>
    <n v="32"/>
    <x v="0"/>
    <n v="3"/>
    <n v="0.38461538461538464"/>
    <x v="0"/>
    <x v="0"/>
  </r>
  <r>
    <n v="10009"/>
    <x v="2"/>
    <x v="2"/>
    <n v="8"/>
    <n v="9"/>
    <n v="18"/>
    <x v="1"/>
    <n v="4"/>
    <n v="0.88888888888888884"/>
    <x v="1"/>
    <x v="0"/>
  </r>
  <r>
    <n v="10010"/>
    <x v="0"/>
    <x v="0"/>
    <n v="7"/>
    <n v="11"/>
    <n v="38"/>
    <x v="0"/>
    <n v="2"/>
    <n v="0.63636363636363635"/>
    <x v="2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EC2D3-D753-4C38-88E1-C95F877AC73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 rowHeaderCaption="Department">
  <location ref="A3:B7" firstHeaderRow="1" firstDataRow="1" firstDataCol="1"/>
  <pivotFields count="11">
    <pivotField numFmtId="1" showAll="0"/>
    <pivotField axis="axisRow" showAll="0" sortType="descending">
      <items count="4">
        <item x="0"/>
        <item x="2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dataField="1" numFmtId="1" showAll="0"/>
    <pivotField showAll="0"/>
    <pivotField numFmtId="1" showAll="0"/>
    <pivotField numFmtId="2" showAll="0"/>
    <pivotField showAll="0"/>
    <pivotField showAll="0"/>
  </pivotFields>
  <rowFields count="1">
    <field x="1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g of WaitTime (mins)" fld="5" subtotal="average" baseField="1" baseItem="0" numFmtId="2"/>
  </dataFields>
  <formats count="14">
    <format dxfId="81">
      <pivotArea type="all" dataOnly="0" outline="0" fieldPosition="0"/>
    </format>
    <format dxfId="80">
      <pivotArea outline="0" collapsedLevelsAreSubtotals="1" fieldPosition="0"/>
    </format>
    <format dxfId="79">
      <pivotArea field="1" type="button" dataOnly="0" labelOnly="1" outline="0" axis="axisRow" fieldPosition="0"/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grandRow="1" outline="0" fieldPosition="0"/>
    </format>
    <format dxfId="76">
      <pivotArea dataOnly="0" labelOnly="1" outline="0" axis="axisValues" fieldPosition="0"/>
    </format>
    <format dxfId="75">
      <pivotArea type="all" dataOnly="0" outline="0" fieldPosition="0"/>
    </format>
    <format dxfId="74">
      <pivotArea outline="0" collapsedLevelsAreSubtotals="1" fieldPosition="0"/>
    </format>
    <format dxfId="73">
      <pivotArea field="1" type="button" dataOnly="0" labelOnly="1" outline="0" axis="axisRow" fieldPosition="0"/>
    </format>
    <format dxfId="72">
      <pivotArea dataOnly="0" labelOnly="1" fieldPosition="0">
        <references count="1">
          <reference field="1" count="0"/>
        </references>
      </pivotArea>
    </format>
    <format dxfId="71">
      <pivotArea dataOnly="0" labelOnly="1" grandRow="1" outline="0" fieldPosition="0"/>
    </format>
    <format dxfId="70">
      <pivotArea dataOnly="0" labelOnly="1" outline="0" axis="axisValues" fieldPosition="0"/>
    </format>
    <format dxfId="69">
      <pivotArea outline="0" collapsedLevelsAreSubtotals="1" fieldPosition="0"/>
    </format>
    <format dxfId="68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C9B263-790E-4C04-AD14-35CF5A0F3BFB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WaitCategory">
  <location ref="A3:B7" firstHeaderRow="1" firstDataRow="1" firstDataCol="1"/>
  <pivotFields count="11">
    <pivotField numFmtId="1" showAll="0"/>
    <pivotField showAll="0"/>
    <pivotField showAll="0"/>
    <pivotField numFmtId="1" showAll="0"/>
    <pivotField numFmtId="1" showAll="0"/>
    <pivotField numFmtId="1" showAll="0"/>
    <pivotField showAll="0"/>
    <pivotField dataField="1" numFmtId="1" showAll="0"/>
    <pivotField numFmtId="2"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9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g of SatisfactionScore" fld="7" subtotal="average" baseField="9" baseItem="0" numFmtId="2"/>
  </dataFields>
  <formats count="14">
    <format dxfId="67">
      <pivotArea type="all" dataOnly="0" outline="0" fieldPosition="0"/>
    </format>
    <format dxfId="66">
      <pivotArea outline="0" collapsedLevelsAreSubtotals="1" fieldPosition="0"/>
    </format>
    <format dxfId="65">
      <pivotArea field="9" type="button" dataOnly="0" labelOnly="1" outline="0" axis="axisRow" fieldPosition="0"/>
    </format>
    <format dxfId="64">
      <pivotArea dataOnly="0" labelOnly="1" fieldPosition="0">
        <references count="1">
          <reference field="9" count="0"/>
        </references>
      </pivotArea>
    </format>
    <format dxfId="63">
      <pivotArea dataOnly="0" labelOnly="1" grandRow="1" outline="0" fieldPosition="0"/>
    </format>
    <format dxfId="62">
      <pivotArea dataOnly="0" labelOnly="1" outline="0" axis="axisValues" fieldPosition="0"/>
    </format>
    <format dxfId="61">
      <pivotArea type="all" dataOnly="0" outline="0" fieldPosition="0"/>
    </format>
    <format dxfId="60">
      <pivotArea outline="0" collapsedLevelsAreSubtotals="1" fieldPosition="0"/>
    </format>
    <format dxfId="59">
      <pivotArea field="9" type="button" dataOnly="0" labelOnly="1" outline="0" axis="axisRow" fieldPosition="0"/>
    </format>
    <format dxfId="58">
      <pivotArea dataOnly="0" labelOnly="1" fieldPosition="0">
        <references count="1">
          <reference field="9" count="0"/>
        </references>
      </pivotArea>
    </format>
    <format dxfId="57">
      <pivotArea dataOnly="0" labelOnly="1" grandRow="1" outline="0" fieldPosition="0"/>
    </format>
    <format dxfId="56">
      <pivotArea dataOnly="0" labelOnly="1" outline="0" axis="axisValues" fieldPosition="0"/>
    </format>
    <format dxfId="55">
      <pivotArea outline="0" collapsedLevelsAreSubtotals="1" fieldPosition="0"/>
    </format>
    <format dxfId="5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813475-C742-4A51-BF1F-4330B38FB62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octorID">
  <location ref="A3:B7" firstHeaderRow="1" firstDataRow="1" firstDataCol="1"/>
  <pivotFields count="11">
    <pivotField numFmtId="1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1" showAll="0"/>
    <pivotField numFmtId="1" showAll="0"/>
    <pivotField numFmtId="1" showAll="0"/>
    <pivotField showAll="0"/>
    <pivotField numFmtId="1" showAll="0"/>
    <pivotField numFmtId="2" showAll="0"/>
    <pivotField showAll="0"/>
    <pivotField showAll="0"/>
  </pivotFields>
  <rowFields count="1">
    <field x="2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Avg of PatientsPerHour" fld="3" subtotal="average" baseField="2" baseItem="0" numFmtId="2"/>
  </dataFields>
  <formats count="14">
    <format dxfId="53">
      <pivotArea outline="0" collapsedLevelsAreSubtotals="1" fieldPosition="0"/>
    </format>
    <format dxfId="52">
      <pivotArea dataOnly="0" labelOnly="1" outline="0" axis="axisValues" fieldPosition="0"/>
    </format>
    <format dxfId="51">
      <pivotArea type="all" dataOnly="0" outline="0" fieldPosition="0"/>
    </format>
    <format dxfId="50">
      <pivotArea outline="0" collapsedLevelsAreSubtotals="1" fieldPosition="0"/>
    </format>
    <format dxfId="49">
      <pivotArea field="2" type="button" dataOnly="0" labelOnly="1" outline="0" axis="axisRow" fieldPosition="0"/>
    </format>
    <format dxfId="48">
      <pivotArea dataOnly="0" labelOnly="1" fieldPosition="0">
        <references count="1">
          <reference field="2" count="0"/>
        </references>
      </pivotArea>
    </format>
    <format dxfId="47">
      <pivotArea dataOnly="0" labelOnly="1" grandRow="1" outline="0" fieldPosition="0"/>
    </format>
    <format dxfId="46">
      <pivotArea dataOnly="0" labelOnly="1" outline="0" axis="axisValues" fieldPosition="0"/>
    </format>
    <format dxfId="45">
      <pivotArea type="all" dataOnly="0" outline="0" fieldPosition="0"/>
    </format>
    <format dxfId="44">
      <pivotArea outline="0" collapsedLevelsAreSubtotals="1" fieldPosition="0"/>
    </format>
    <format dxfId="43">
      <pivotArea field="2" type="button" dataOnly="0" labelOnly="1" outline="0" axis="axisRow" fieldPosition="0"/>
    </format>
    <format dxfId="42">
      <pivotArea dataOnly="0" labelOnly="1" fieldPosition="0">
        <references count="1">
          <reference field="2" count="0"/>
        </references>
      </pivotArea>
    </format>
    <format dxfId="41">
      <pivotArea dataOnly="0" labelOnly="1" grandRow="1" outline="0" fieldPosition="0"/>
    </format>
    <format dxfId="40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CF34B-3DDD-4227-B7B5-0AD5F83E33DC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epartment">
  <location ref="A3:B7" firstHeaderRow="1" firstDataRow="1" firstDataCol="1"/>
  <pivotFields count="11">
    <pivotField numFmtId="1"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" showAll="0"/>
    <pivotField numFmtId="1" showAll="0"/>
    <pivotField numFmtId="1" showAll="0"/>
    <pivotField showAll="0"/>
    <pivotField numFmtId="1" showAll="0"/>
    <pivotField dataField="1" numFmtId="2" showAll="0"/>
    <pivotField showAll="0"/>
    <pivotField showAll="0"/>
  </pivotFields>
  <rowFields count="1">
    <field x="1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Sum of EfficiencyScore" fld="8" baseField="0" baseItem="0" numFmtId="2"/>
  </dataFields>
  <formats count="14">
    <format dxfId="39">
      <pivotArea outline="0" collapsedLevelsAreSubtotals="1" fieldPosition="0"/>
    </format>
    <format dxfId="38">
      <pivotArea dataOnly="0" labelOnly="1" outline="0" axis="axisValues" fieldPosition="0"/>
    </format>
    <format dxfId="37">
      <pivotArea type="all" dataOnly="0" outline="0" fieldPosition="0"/>
    </format>
    <format dxfId="36">
      <pivotArea outline="0" collapsedLevelsAreSubtotals="1" fieldPosition="0"/>
    </format>
    <format dxfId="35">
      <pivotArea field="1" type="button" dataOnly="0" labelOnly="1" outline="0" axis="axisRow" fieldPosition="0"/>
    </format>
    <format dxfId="34">
      <pivotArea dataOnly="0" labelOnly="1" fieldPosition="0">
        <references count="1">
          <reference field="1" count="0"/>
        </references>
      </pivotArea>
    </format>
    <format dxfId="33">
      <pivotArea dataOnly="0" labelOnly="1" grandRow="1" outline="0" fieldPosition="0"/>
    </format>
    <format dxfId="32">
      <pivotArea dataOnly="0" labelOnly="1" outline="0" axis="axisValues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" type="button" dataOnly="0" labelOnly="1" outline="0" axis="axisRow" fieldPosition="0"/>
    </format>
    <format dxfId="28">
      <pivotArea dataOnly="0" labelOnly="1" fieldPosition="0">
        <references count="1">
          <reference field="1" count="0"/>
        </references>
      </pivotArea>
    </format>
    <format dxfId="27">
      <pivotArea dataOnly="0" labelOnly="1" grandRow="1" outline="0" fieldPosition="0"/>
    </format>
    <format dxfId="26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3A663-93C7-4215-8281-E172D613DD3F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SatisfactionCategory">
  <location ref="A3:B7" firstHeaderRow="1" firstDataRow="1" firstDataCol="1"/>
  <pivotFields count="11">
    <pivotField numFmtId="1" showAll="0"/>
    <pivotField showAll="0"/>
    <pivotField showAll="0"/>
    <pivotField numFmtId="1" showAll="0"/>
    <pivotField numFmtId="1" showAll="0"/>
    <pivotField dataField="1" numFmtId="1" showAll="0"/>
    <pivotField showAll="0"/>
    <pivotField numFmtId="1" showAll="0"/>
    <pivotField numFmtId="2" showAll="0"/>
    <pivotField showAll="0"/>
    <pivotField axis="axisRow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0"/>
  </rowFields>
  <rowItems count="4">
    <i>
      <x/>
    </i>
    <i>
      <x v="2"/>
    </i>
    <i>
      <x v="1"/>
    </i>
    <i t="grand">
      <x/>
    </i>
  </rowItems>
  <colItems count="1">
    <i/>
  </colItems>
  <dataFields count="1">
    <dataField name="Avg of WaitTime (mins)" fld="5" subtotal="average" baseField="10" baseItem="0" numFmtId="1"/>
  </dataFields>
  <formats count="12">
    <format dxfId="25">
      <pivotArea type="all" dataOnly="0" outline="0" fieldPosition="0"/>
    </format>
    <format dxfId="24">
      <pivotArea outline="0" collapsedLevelsAreSubtotals="1" fieldPosition="0"/>
    </format>
    <format dxfId="23">
      <pivotArea field="10" type="button" dataOnly="0" labelOnly="1" outline="0" axis="axisRow" fieldPosition="0"/>
    </format>
    <format dxfId="22">
      <pivotArea dataOnly="0" labelOnly="1" fieldPosition="0">
        <references count="1">
          <reference field="10" count="0"/>
        </references>
      </pivotArea>
    </format>
    <format dxfId="21">
      <pivotArea dataOnly="0" labelOnly="1" grandRow="1" outline="0" fieldPosition="0"/>
    </format>
    <format dxfId="20">
      <pivotArea dataOnly="0" labelOnly="1" outline="0" axis="axisValues" fieldPosition="0"/>
    </format>
    <format dxfId="19">
      <pivotArea type="all" dataOnly="0" outline="0" fieldPosition="0"/>
    </format>
    <format dxfId="18">
      <pivotArea outline="0" collapsedLevelsAreSubtotals="1" fieldPosition="0"/>
    </format>
    <format dxfId="17">
      <pivotArea field="10" type="button" dataOnly="0" labelOnly="1" outline="0" axis="axisRow" fieldPosition="0"/>
    </format>
    <format dxfId="16">
      <pivotArea dataOnly="0" labelOnly="1" fieldPosition="0">
        <references count="1">
          <reference field="10" count="0"/>
        </references>
      </pivotArea>
    </format>
    <format dxfId="15">
      <pivotArea dataOnly="0" labelOnly="1" grandRow="1" outline="0" fieldPosition="0"/>
    </format>
    <format dxfId="14">
      <pivotArea dataOnly="0" labelOnly="1" outline="0" axis="axisValues" fieldPosition="0"/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920B2-50BB-43F8-A339-D84747123FC4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DayType">
  <location ref="A3:B6" firstHeaderRow="1" firstDataRow="1" firstDataCol="1"/>
  <pivotFields count="11">
    <pivotField numFmtId="1" showAll="0"/>
    <pivotField showAll="0"/>
    <pivotField showAll="0"/>
    <pivotField numFmtId="1" showAll="0"/>
    <pivotField numFmtId="1" showAll="0"/>
    <pivotField dataField="1" numFmtId="1" showAll="0"/>
    <pivotField axis="axisRow" showAll="0">
      <items count="3">
        <item x="0"/>
        <item x="1"/>
        <item t="default"/>
      </items>
    </pivotField>
    <pivotField numFmtId="1" showAll="0"/>
    <pivotField numFmtId="2"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g of WaitTime (mins)" fld="5" subtotal="average" baseField="6" baseItem="0" numFmtId="2"/>
  </dataFields>
  <formats count="14">
    <format dxfId="13">
      <pivotArea outline="0" collapsedLevelsAreSubtotals="1" fieldPosition="0"/>
    </format>
    <format dxfId="12">
      <pivotArea dataOnly="0" labelOnly="1" outline="0" axis="axisValues" fieldPosition="0"/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6" type="button" dataOnly="0" labelOnly="1" outline="0" axis="axisRow" fieldPosition="0"/>
    </format>
    <format dxfId="8">
      <pivotArea dataOnly="0" labelOnly="1" fieldPosition="0">
        <references count="1">
          <reference field="6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6" type="button" dataOnly="0" labelOnly="1" outline="0" axis="axisRow" fieldPosition="0"/>
    </format>
    <format dxfId="2">
      <pivotArea dataOnly="0" labelOnly="1" fieldPosition="0">
        <references count="1">
          <reference field="6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3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D3F45-445F-4B8D-9B8C-0BC94C12299F}">
  <sheetPr codeName="Sheet2"/>
  <dimension ref="A3:B14"/>
  <sheetViews>
    <sheetView workbookViewId="0">
      <selection activeCell="D24" sqref="D24"/>
    </sheetView>
  </sheetViews>
  <sheetFormatPr defaultRowHeight="14.4" x14ac:dyDescent="0.3"/>
  <cols>
    <col min="1" max="1" width="40.109375" style="4" bestFit="1" customWidth="1"/>
    <col min="2" max="2" width="20.88671875" style="13" bestFit="1" customWidth="1"/>
    <col min="3" max="16384" width="8.88671875" style="4"/>
  </cols>
  <sheetData>
    <row r="3" spans="1:2" x14ac:dyDescent="0.3">
      <c r="A3" s="12" t="s">
        <v>1</v>
      </c>
      <c r="B3" s="13" t="s">
        <v>18</v>
      </c>
    </row>
    <row r="4" spans="1:2" x14ac:dyDescent="0.3">
      <c r="A4" s="4" t="s">
        <v>9</v>
      </c>
      <c r="B4" s="13">
        <v>34</v>
      </c>
    </row>
    <row r="5" spans="1:2" x14ac:dyDescent="0.3">
      <c r="A5" s="4" t="s">
        <v>6</v>
      </c>
      <c r="B5" s="13">
        <v>31.5</v>
      </c>
    </row>
    <row r="6" spans="1:2" x14ac:dyDescent="0.3">
      <c r="A6" s="4" t="s">
        <v>11</v>
      </c>
      <c r="B6" s="13">
        <v>17.666666666666668</v>
      </c>
    </row>
    <row r="7" spans="1:2" x14ac:dyDescent="0.3">
      <c r="A7" s="4" t="s">
        <v>17</v>
      </c>
      <c r="B7" s="13">
        <v>28.1</v>
      </c>
    </row>
    <row r="10" spans="1:2" x14ac:dyDescent="0.3">
      <c r="A10" s="1" t="s">
        <v>20</v>
      </c>
      <c r="B10" s="2" t="str">
        <f>_xlfn.XLOOKUP(MAX(B4:B6),B4:B6,A4:A6,)</f>
        <v>Orthopedics</v>
      </c>
    </row>
    <row r="14" spans="1:2" x14ac:dyDescent="0.3">
      <c r="A14" s="1" t="s">
        <v>19</v>
      </c>
      <c r="B14" s="2">
        <f>VLOOKUP(A4,A4:B6,2,FALSE)</f>
        <v>34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7B4C-1291-4ABB-BDAA-D396B590E910}">
  <sheetPr codeName="Sheet3"/>
  <dimension ref="A3:B15"/>
  <sheetViews>
    <sheetView workbookViewId="0">
      <selection activeCell="I22" sqref="I22"/>
    </sheetView>
  </sheetViews>
  <sheetFormatPr defaultRowHeight="14.4" x14ac:dyDescent="0.3"/>
  <cols>
    <col min="1" max="1" width="42.77734375" style="4" bestFit="1" customWidth="1"/>
    <col min="2" max="2" width="21.6640625" style="13" bestFit="1" customWidth="1"/>
    <col min="3" max="16384" width="8.88671875" style="4"/>
  </cols>
  <sheetData>
    <row r="3" spans="1:2" x14ac:dyDescent="0.3">
      <c r="A3" s="12" t="s">
        <v>15</v>
      </c>
      <c r="B3" s="13" t="s">
        <v>24</v>
      </c>
    </row>
    <row r="4" spans="1:2" x14ac:dyDescent="0.3">
      <c r="A4" s="4" t="s">
        <v>21</v>
      </c>
      <c r="B4" s="13">
        <v>2</v>
      </c>
    </row>
    <row r="5" spans="1:2" x14ac:dyDescent="0.3">
      <c r="A5" s="4" t="s">
        <v>23</v>
      </c>
      <c r="B5" s="13">
        <v>3</v>
      </c>
    </row>
    <row r="6" spans="1:2" x14ac:dyDescent="0.3">
      <c r="A6" s="4" t="s">
        <v>22</v>
      </c>
      <c r="B6" s="13">
        <v>4.333333333333333</v>
      </c>
    </row>
    <row r="7" spans="1:2" x14ac:dyDescent="0.3">
      <c r="A7" s="4" t="s">
        <v>17</v>
      </c>
      <c r="B7" s="13">
        <v>3.2</v>
      </c>
    </row>
    <row r="11" spans="1:2" x14ac:dyDescent="0.3">
      <c r="A11" s="1" t="s">
        <v>35</v>
      </c>
      <c r="B11" s="2" t="str">
        <f>_xlfn.XLOOKUP(MIN(B4:B6),B4:B6,A4:A6,)</f>
        <v>High</v>
      </c>
    </row>
    <row r="15" spans="1:2" x14ac:dyDescent="0.3">
      <c r="A15" s="1" t="s">
        <v>25</v>
      </c>
      <c r="B15" s="2">
        <f>VLOOKUP(A4,A4:B6,2,FALSE)</f>
        <v>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5EFD8-2BC3-4A8F-8569-FE828F9CADCF}">
  <sheetPr codeName="Sheet4"/>
  <dimension ref="A3:B15"/>
  <sheetViews>
    <sheetView workbookViewId="0">
      <selection activeCell="A20" sqref="A20"/>
    </sheetView>
  </sheetViews>
  <sheetFormatPr defaultRowHeight="14.4" x14ac:dyDescent="0.3"/>
  <cols>
    <col min="1" max="1" width="45.21875" style="4" bestFit="1" customWidth="1"/>
    <col min="2" max="2" width="20.77734375" style="13" bestFit="1" customWidth="1"/>
    <col min="3" max="16384" width="8.88671875" style="4"/>
  </cols>
  <sheetData>
    <row r="3" spans="1:2" x14ac:dyDescent="0.3">
      <c r="A3" s="12" t="s">
        <v>2</v>
      </c>
      <c r="B3" s="13" t="s">
        <v>26</v>
      </c>
    </row>
    <row r="4" spans="1:2" x14ac:dyDescent="0.3">
      <c r="A4" s="4" t="s">
        <v>12</v>
      </c>
      <c r="B4" s="13">
        <v>8.3333333333333339</v>
      </c>
    </row>
    <row r="5" spans="1:2" x14ac:dyDescent="0.3">
      <c r="A5" s="4" t="s">
        <v>7</v>
      </c>
      <c r="B5" s="13">
        <v>6.5</v>
      </c>
    </row>
    <row r="6" spans="1:2" x14ac:dyDescent="0.3">
      <c r="A6" s="4" t="s">
        <v>10</v>
      </c>
      <c r="B6" s="13">
        <v>4.666666666666667</v>
      </c>
    </row>
    <row r="7" spans="1:2" x14ac:dyDescent="0.3">
      <c r="A7" s="4" t="s">
        <v>17</v>
      </c>
      <c r="B7" s="13">
        <v>6.5</v>
      </c>
    </row>
    <row r="11" spans="1:2" x14ac:dyDescent="0.3">
      <c r="A11" s="1" t="s">
        <v>36</v>
      </c>
      <c r="B11" s="2" t="str">
        <f>_xlfn.XLOOKUP(MAX(B4:B6),B4:B6,A4:A6,)</f>
        <v>D3</v>
      </c>
    </row>
    <row r="15" spans="1:2" x14ac:dyDescent="0.3">
      <c r="A15" s="1" t="s">
        <v>27</v>
      </c>
      <c r="B15" s="2">
        <f>VLOOKUP(A4,A4:B6,2,FALSE)</f>
        <v>8.3333333333333339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CAB1-A4AB-4CC0-9834-8A61597F7E39}">
  <sheetPr codeName="Sheet5"/>
  <dimension ref="A3:B15"/>
  <sheetViews>
    <sheetView workbookViewId="0">
      <selection activeCell="F27" sqref="F27"/>
    </sheetView>
  </sheetViews>
  <sheetFormatPr defaultRowHeight="14.4" x14ac:dyDescent="0.3"/>
  <cols>
    <col min="1" max="1" width="41.88671875" style="4" bestFit="1" customWidth="1"/>
    <col min="2" max="2" width="20.44140625" style="13" bestFit="1" customWidth="1"/>
    <col min="3" max="16384" width="8.88671875" style="4"/>
  </cols>
  <sheetData>
    <row r="3" spans="1:2" x14ac:dyDescent="0.3">
      <c r="A3" s="12" t="s">
        <v>1</v>
      </c>
      <c r="B3" s="13" t="s">
        <v>28</v>
      </c>
    </row>
    <row r="4" spans="1:2" x14ac:dyDescent="0.3">
      <c r="A4" s="4" t="s">
        <v>11</v>
      </c>
      <c r="B4" s="13">
        <v>3.1746031746031744</v>
      </c>
    </row>
    <row r="5" spans="1:2" x14ac:dyDescent="0.3">
      <c r="A5" s="4" t="s">
        <v>6</v>
      </c>
      <c r="B5" s="13">
        <v>2.4727272727272727</v>
      </c>
    </row>
    <row r="6" spans="1:2" x14ac:dyDescent="0.3">
      <c r="A6" s="4" t="s">
        <v>9</v>
      </c>
      <c r="B6" s="13">
        <v>1.0679487179487179</v>
      </c>
    </row>
    <row r="7" spans="1:2" x14ac:dyDescent="0.3">
      <c r="A7" s="4" t="s">
        <v>17</v>
      </c>
      <c r="B7" s="13">
        <v>6.7152791652791652</v>
      </c>
    </row>
    <row r="11" spans="1:2" x14ac:dyDescent="0.3">
      <c r="A11" s="1" t="s">
        <v>29</v>
      </c>
      <c r="B11" s="2" t="str">
        <f>_xlfn.XLOOKUP(MAX(B4:B6),B4:B6,A4:A6,)</f>
        <v>General</v>
      </c>
    </row>
    <row r="15" spans="1:2" x14ac:dyDescent="0.3">
      <c r="A15" s="1" t="s">
        <v>30</v>
      </c>
      <c r="B15" s="2">
        <f>VLOOKUP(A4,A4:B6,2,FALSE)</f>
        <v>3.1746031746031744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C34A2-6839-4634-9051-F286FD1D4315}">
  <sheetPr codeName="Sheet6"/>
  <dimension ref="A3:B14"/>
  <sheetViews>
    <sheetView workbookViewId="0">
      <selection activeCell="B20" sqref="B20"/>
    </sheetView>
  </sheetViews>
  <sheetFormatPr defaultRowHeight="14.4" x14ac:dyDescent="0.3"/>
  <cols>
    <col min="1" max="1" width="42.33203125" style="4" bestFit="1" customWidth="1"/>
    <col min="2" max="2" width="20.88671875" style="4" bestFit="1" customWidth="1"/>
    <col min="3" max="16384" width="8.88671875" style="4"/>
  </cols>
  <sheetData>
    <row r="3" spans="1:2" x14ac:dyDescent="0.3">
      <c r="A3" s="12" t="s">
        <v>16</v>
      </c>
      <c r="B3" s="4" t="s">
        <v>18</v>
      </c>
    </row>
    <row r="4" spans="1:2" x14ac:dyDescent="0.3">
      <c r="A4" s="4" t="s">
        <v>21</v>
      </c>
      <c r="B4" s="10">
        <v>15</v>
      </c>
    </row>
    <row r="5" spans="1:2" x14ac:dyDescent="0.3">
      <c r="A5" s="4" t="s">
        <v>23</v>
      </c>
      <c r="B5" s="10">
        <v>25.5</v>
      </c>
    </row>
    <row r="6" spans="1:2" x14ac:dyDescent="0.3">
      <c r="A6" s="4" t="s">
        <v>22</v>
      </c>
      <c r="B6" s="10">
        <v>37.666666666666664</v>
      </c>
    </row>
    <row r="7" spans="1:2" x14ac:dyDescent="0.3">
      <c r="A7" s="4" t="s">
        <v>17</v>
      </c>
      <c r="B7" s="10">
        <v>28.1</v>
      </c>
    </row>
    <row r="10" spans="1:2" x14ac:dyDescent="0.3">
      <c r="A10" s="1" t="s">
        <v>31</v>
      </c>
      <c r="B10" s="1" t="str">
        <f>_xlfn.XLOOKUP(MIN(B4:B6),B4:B6,A4:A6,)</f>
        <v>High</v>
      </c>
    </row>
    <row r="14" spans="1:2" x14ac:dyDescent="0.3">
      <c r="A14" s="1" t="s">
        <v>32</v>
      </c>
      <c r="B14" s="1">
        <f>VLOOKUP(A4,A4:B6,2,FALSE)</f>
        <v>15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44CCE-C4C6-4BD2-8788-8C0974B4C2F1}">
  <sheetPr codeName="Sheet7"/>
  <dimension ref="A3:B12"/>
  <sheetViews>
    <sheetView workbookViewId="0">
      <selection activeCell="B23" sqref="B23"/>
    </sheetView>
  </sheetViews>
  <sheetFormatPr defaultRowHeight="14.4" x14ac:dyDescent="0.3"/>
  <cols>
    <col min="1" max="1" width="37.5546875" style="4" bestFit="1" customWidth="1"/>
    <col min="2" max="2" width="20.88671875" style="13" bestFit="1" customWidth="1"/>
    <col min="3" max="16384" width="8.88671875" style="4"/>
  </cols>
  <sheetData>
    <row r="3" spans="1:2" x14ac:dyDescent="0.3">
      <c r="A3" s="12" t="s">
        <v>4</v>
      </c>
      <c r="B3" s="13" t="s">
        <v>18</v>
      </c>
    </row>
    <row r="4" spans="1:2" x14ac:dyDescent="0.3">
      <c r="A4" s="4" t="s">
        <v>8</v>
      </c>
      <c r="B4" s="13">
        <v>29.166666666666668</v>
      </c>
    </row>
    <row r="5" spans="1:2" x14ac:dyDescent="0.3">
      <c r="A5" s="4" t="s">
        <v>13</v>
      </c>
      <c r="B5" s="13">
        <v>26.5</v>
      </c>
    </row>
    <row r="6" spans="1:2" x14ac:dyDescent="0.3">
      <c r="A6" s="4" t="s">
        <v>17</v>
      </c>
      <c r="B6" s="13">
        <v>28.1</v>
      </c>
    </row>
    <row r="9" spans="1:2" x14ac:dyDescent="0.3">
      <c r="A9" s="1" t="s">
        <v>33</v>
      </c>
      <c r="B9" s="2" t="str">
        <f>_xlfn.XLOOKUP(MIN(B4:B5),B4:B5,A4:A5,)</f>
        <v>Weekend</v>
      </c>
    </row>
    <row r="12" spans="1:2" x14ac:dyDescent="0.3">
      <c r="A12" s="1" t="s">
        <v>34</v>
      </c>
      <c r="B12" s="2">
        <f>VLOOKUP(A5,A4:B5,2,FALSE)</f>
        <v>26.5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8D01C-1F80-4837-802D-B2F9D69ADE1A}">
  <sheetPr codeName="Sheet1"/>
  <dimension ref="A1:K11"/>
  <sheetViews>
    <sheetView tabSelected="1" workbookViewId="0">
      <selection activeCell="F1" sqref="F1"/>
    </sheetView>
  </sheetViews>
  <sheetFormatPr defaultRowHeight="14.4" x14ac:dyDescent="0.3"/>
  <cols>
    <col min="1" max="1" width="6.33203125" style="11" bestFit="1" customWidth="1"/>
    <col min="2" max="2" width="11.109375" style="8" bestFit="1" customWidth="1"/>
    <col min="3" max="3" width="8.44140625" style="8" bestFit="1" customWidth="1"/>
    <col min="4" max="4" width="14.77734375" style="11" bestFit="1" customWidth="1"/>
    <col min="5" max="5" width="20.6640625" style="11" bestFit="1" customWidth="1"/>
    <col min="6" max="6" width="14.88671875" style="11" bestFit="1" customWidth="1"/>
    <col min="7" max="7" width="8.6640625" style="8" bestFit="1" customWidth="1"/>
    <col min="8" max="8" width="15.5546875" style="11" bestFit="1" customWidth="1"/>
    <col min="9" max="9" width="13.88671875" style="5" bestFit="1" customWidth="1"/>
    <col min="10" max="10" width="12.44140625" style="8" bestFit="1" customWidth="1"/>
    <col min="11" max="11" width="18.5546875" style="8" bestFit="1" customWidth="1"/>
    <col min="12" max="16384" width="8.88671875" style="3"/>
  </cols>
  <sheetData>
    <row r="1" spans="1:11" x14ac:dyDescent="0.3">
      <c r="A1" s="9" t="s">
        <v>0</v>
      </c>
      <c r="B1" s="6" t="s">
        <v>1</v>
      </c>
      <c r="C1" s="6" t="s">
        <v>2</v>
      </c>
      <c r="D1" s="9" t="s">
        <v>3</v>
      </c>
      <c r="E1" s="9" t="s">
        <v>37</v>
      </c>
      <c r="F1" s="9" t="s">
        <v>38</v>
      </c>
      <c r="G1" s="6" t="s">
        <v>4</v>
      </c>
      <c r="H1" s="9" t="s">
        <v>5</v>
      </c>
      <c r="I1" s="2" t="s">
        <v>14</v>
      </c>
      <c r="J1" s="6" t="s">
        <v>15</v>
      </c>
      <c r="K1" s="6" t="s">
        <v>16</v>
      </c>
    </row>
    <row r="2" spans="1:11" x14ac:dyDescent="0.3">
      <c r="A2" s="10">
        <v>10001</v>
      </c>
      <c r="B2" s="7" t="s">
        <v>6</v>
      </c>
      <c r="C2" s="7" t="s">
        <v>7</v>
      </c>
      <c r="D2" s="10">
        <v>6</v>
      </c>
      <c r="E2" s="10">
        <v>10</v>
      </c>
      <c r="F2" s="10">
        <v>25</v>
      </c>
      <c r="G2" s="7" t="s">
        <v>8</v>
      </c>
      <c r="H2" s="10">
        <v>4</v>
      </c>
      <c r="I2" s="5">
        <f>D2/E2</f>
        <v>0.6</v>
      </c>
      <c r="J2" s="8" t="str">
        <f>IF(F2&lt;=20,"Low",IF(F2&lt;=35,"Medium","High"))</f>
        <v>Medium</v>
      </c>
      <c r="K2" s="8" t="str">
        <f>IF(H2&lt;=2,"Low",IF(H2&lt;=4,"Medium","High"))</f>
        <v>Medium</v>
      </c>
    </row>
    <row r="3" spans="1:11" x14ac:dyDescent="0.3">
      <c r="A3" s="10">
        <v>10002</v>
      </c>
      <c r="B3" s="7" t="s">
        <v>9</v>
      </c>
      <c r="C3" s="7" t="s">
        <v>10</v>
      </c>
      <c r="D3" s="10">
        <v>5</v>
      </c>
      <c r="E3" s="10">
        <v>12</v>
      </c>
      <c r="F3" s="10">
        <v>30</v>
      </c>
      <c r="G3" s="7" t="s">
        <v>8</v>
      </c>
      <c r="H3" s="10">
        <v>3</v>
      </c>
      <c r="I3" s="5">
        <f t="shared" ref="I3:I11" si="0">D3/E3</f>
        <v>0.41666666666666669</v>
      </c>
      <c r="J3" s="8" t="str">
        <f t="shared" ref="J3:J11" si="1">IF(F3&lt;=20,"Low",IF(F3&lt;=35,"Medium","High"))</f>
        <v>Medium</v>
      </c>
      <c r="K3" s="8" t="str">
        <f t="shared" ref="K3:K11" si="2">IF(H3&lt;=2,"Low",IF(H3&lt;=4,"Medium","High"))</f>
        <v>Medium</v>
      </c>
    </row>
    <row r="4" spans="1:11" x14ac:dyDescent="0.3">
      <c r="A4" s="10">
        <v>10003</v>
      </c>
      <c r="B4" s="7" t="s">
        <v>11</v>
      </c>
      <c r="C4" s="7" t="s">
        <v>12</v>
      </c>
      <c r="D4" s="10">
        <v>8</v>
      </c>
      <c r="E4" s="10">
        <v>8</v>
      </c>
      <c r="F4" s="10">
        <v>20</v>
      </c>
      <c r="G4" s="7" t="s">
        <v>13</v>
      </c>
      <c r="H4" s="10">
        <v>4</v>
      </c>
      <c r="I4" s="5">
        <f t="shared" si="0"/>
        <v>1</v>
      </c>
      <c r="J4" s="8" t="str">
        <f t="shared" si="1"/>
        <v>Low</v>
      </c>
      <c r="K4" s="8" t="str">
        <f t="shared" si="2"/>
        <v>Medium</v>
      </c>
    </row>
    <row r="5" spans="1:11" x14ac:dyDescent="0.3">
      <c r="A5" s="10">
        <v>10004</v>
      </c>
      <c r="B5" s="7" t="s">
        <v>6</v>
      </c>
      <c r="C5" s="7" t="s">
        <v>7</v>
      </c>
      <c r="D5" s="10">
        <v>7</v>
      </c>
      <c r="E5" s="10">
        <v>11</v>
      </c>
      <c r="F5" s="10">
        <v>35</v>
      </c>
      <c r="G5" s="7" t="s">
        <v>8</v>
      </c>
      <c r="H5" s="10">
        <v>2</v>
      </c>
      <c r="I5" s="5">
        <f t="shared" si="0"/>
        <v>0.63636363636363635</v>
      </c>
      <c r="J5" s="8" t="str">
        <f t="shared" si="1"/>
        <v>Medium</v>
      </c>
      <c r="K5" s="8" t="str">
        <f t="shared" si="2"/>
        <v>Low</v>
      </c>
    </row>
    <row r="6" spans="1:11" x14ac:dyDescent="0.3">
      <c r="A6" s="10">
        <v>10005</v>
      </c>
      <c r="B6" s="7" t="s">
        <v>9</v>
      </c>
      <c r="C6" s="7" t="s">
        <v>10</v>
      </c>
      <c r="D6" s="10">
        <v>4</v>
      </c>
      <c r="E6" s="10">
        <v>15</v>
      </c>
      <c r="F6" s="10">
        <v>40</v>
      </c>
      <c r="G6" s="7" t="s">
        <v>13</v>
      </c>
      <c r="H6" s="10">
        <v>2</v>
      </c>
      <c r="I6" s="5">
        <f t="shared" si="0"/>
        <v>0.26666666666666666</v>
      </c>
      <c r="J6" s="8" t="str">
        <f t="shared" si="1"/>
        <v>High</v>
      </c>
      <c r="K6" s="8" t="str">
        <f t="shared" si="2"/>
        <v>Low</v>
      </c>
    </row>
    <row r="7" spans="1:11" x14ac:dyDescent="0.3">
      <c r="A7" s="10">
        <v>10006</v>
      </c>
      <c r="B7" s="7" t="s">
        <v>11</v>
      </c>
      <c r="C7" s="7" t="s">
        <v>12</v>
      </c>
      <c r="D7" s="10">
        <v>9</v>
      </c>
      <c r="E7" s="10">
        <v>7</v>
      </c>
      <c r="F7" s="10">
        <v>15</v>
      </c>
      <c r="G7" s="7" t="s">
        <v>8</v>
      </c>
      <c r="H7" s="10">
        <v>5</v>
      </c>
      <c r="I7" s="5">
        <f t="shared" si="0"/>
        <v>1.2857142857142858</v>
      </c>
      <c r="J7" s="8" t="str">
        <f t="shared" si="1"/>
        <v>Low</v>
      </c>
      <c r="K7" s="8" t="str">
        <f t="shared" si="2"/>
        <v>High</v>
      </c>
    </row>
    <row r="8" spans="1:11" x14ac:dyDescent="0.3">
      <c r="A8" s="10">
        <v>10007</v>
      </c>
      <c r="B8" s="7" t="s">
        <v>6</v>
      </c>
      <c r="C8" s="7" t="s">
        <v>7</v>
      </c>
      <c r="D8" s="10">
        <v>6</v>
      </c>
      <c r="E8" s="10">
        <v>10</v>
      </c>
      <c r="F8" s="10">
        <v>28</v>
      </c>
      <c r="G8" s="7" t="s">
        <v>13</v>
      </c>
      <c r="H8" s="10">
        <v>3</v>
      </c>
      <c r="I8" s="5">
        <f t="shared" si="0"/>
        <v>0.6</v>
      </c>
      <c r="J8" s="8" t="str">
        <f t="shared" si="1"/>
        <v>Medium</v>
      </c>
      <c r="K8" s="8" t="str">
        <f t="shared" si="2"/>
        <v>Medium</v>
      </c>
    </row>
    <row r="9" spans="1:11" x14ac:dyDescent="0.3">
      <c r="A9" s="10">
        <v>10008</v>
      </c>
      <c r="B9" s="7" t="s">
        <v>9</v>
      </c>
      <c r="C9" s="7" t="s">
        <v>10</v>
      </c>
      <c r="D9" s="10">
        <v>5</v>
      </c>
      <c r="E9" s="10">
        <v>13</v>
      </c>
      <c r="F9" s="10">
        <v>32</v>
      </c>
      <c r="G9" s="7" t="s">
        <v>8</v>
      </c>
      <c r="H9" s="10">
        <v>3</v>
      </c>
      <c r="I9" s="5">
        <f t="shared" si="0"/>
        <v>0.38461538461538464</v>
      </c>
      <c r="J9" s="8" t="str">
        <f t="shared" si="1"/>
        <v>Medium</v>
      </c>
      <c r="K9" s="8" t="str">
        <f t="shared" si="2"/>
        <v>Medium</v>
      </c>
    </row>
    <row r="10" spans="1:11" x14ac:dyDescent="0.3">
      <c r="A10" s="10">
        <v>10009</v>
      </c>
      <c r="B10" s="7" t="s">
        <v>11</v>
      </c>
      <c r="C10" s="7" t="s">
        <v>12</v>
      </c>
      <c r="D10" s="10">
        <v>8</v>
      </c>
      <c r="E10" s="10">
        <v>9</v>
      </c>
      <c r="F10" s="10">
        <v>18</v>
      </c>
      <c r="G10" s="7" t="s">
        <v>13</v>
      </c>
      <c r="H10" s="10">
        <v>4</v>
      </c>
      <c r="I10" s="5">
        <f t="shared" si="0"/>
        <v>0.88888888888888884</v>
      </c>
      <c r="J10" s="8" t="str">
        <f t="shared" si="1"/>
        <v>Low</v>
      </c>
      <c r="K10" s="8" t="str">
        <f t="shared" si="2"/>
        <v>Medium</v>
      </c>
    </row>
    <row r="11" spans="1:11" x14ac:dyDescent="0.3">
      <c r="A11" s="10">
        <v>10010</v>
      </c>
      <c r="B11" s="7" t="s">
        <v>6</v>
      </c>
      <c r="C11" s="7" t="s">
        <v>7</v>
      </c>
      <c r="D11" s="10">
        <v>7</v>
      </c>
      <c r="E11" s="10">
        <v>11</v>
      </c>
      <c r="F11" s="10">
        <v>38</v>
      </c>
      <c r="G11" s="7" t="s">
        <v>8</v>
      </c>
      <c r="H11" s="10">
        <v>2</v>
      </c>
      <c r="I11" s="5">
        <f t="shared" si="0"/>
        <v>0.63636363636363635</v>
      </c>
      <c r="J11" s="8" t="str">
        <f t="shared" si="1"/>
        <v>High</v>
      </c>
      <c r="K11" s="8" t="str">
        <f t="shared" si="2"/>
        <v>Low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Avg WaitTime by Department</vt:lpstr>
      <vt:lpstr>Avg SatisfactionScore by WaitCa</vt:lpstr>
      <vt:lpstr>Avg PatientsPerHour by DoctorID</vt:lpstr>
      <vt:lpstr>EfficiencyScore by Department</vt:lpstr>
      <vt:lpstr>Avg waitTime by SatisfactionCat</vt:lpstr>
      <vt:lpstr>Avg WaitTime by DayType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Swaroopa B</dc:creator>
  <cp:lastModifiedBy>Swaroopa B</cp:lastModifiedBy>
  <dcterms:created xsi:type="dcterms:W3CDTF">2026-05-16T10:36:38Z</dcterms:created>
  <dcterms:modified xsi:type="dcterms:W3CDTF">2026-05-17T06:13:35Z</dcterms:modified>
</cp:coreProperties>
</file>