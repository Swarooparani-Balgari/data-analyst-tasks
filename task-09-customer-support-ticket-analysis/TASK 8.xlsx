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8\"/>
    </mc:Choice>
  </mc:AlternateContent>
  <xr:revisionPtr revIDLastSave="0" documentId="13_ncr:1_{3F8C8A84-99EF-4088-B282-B9E56EFAAA6D}" xr6:coauthVersionLast="47" xr6:coauthVersionMax="47" xr10:uidLastSave="{00000000-0000-0000-0000-000000000000}"/>
  <bookViews>
    <workbookView xWindow="-108" yWindow="-108" windowWidth="23256" windowHeight="12456" firstSheet="2" activeTab="4" xr2:uid="{8B190548-DA02-4AC0-AF01-405ECEFEF960}"/>
  </bookViews>
  <sheets>
    <sheet name="Avg CreditScore by Defaulted" sheetId="3" r:id="rId1"/>
    <sheet name="Default Count by EmploymentStat" sheetId="2" r:id="rId2"/>
    <sheet name="DefaultFlag by RiskLevel" sheetId="4" r:id="rId3"/>
    <sheet name="Avg LoanTerm_months by Employme" sheetId="5" r:id="rId4"/>
    <sheet name="Dataset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5" i="5"/>
  <c r="B11" i="5"/>
  <c r="B15" i="4"/>
  <c r="B14" i="3"/>
  <c r="B10" i="3"/>
  <c r="B15" i="2"/>
  <c r="B11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<sst xmlns="http://schemas.openxmlformats.org/spreadsheetml/2006/main" count="62" uniqueCount="32">
  <si>
    <t>CustomerID</t>
  </si>
  <si>
    <t>Age</t>
  </si>
  <si>
    <t>Income</t>
  </si>
  <si>
    <t>LoanAmount</t>
  </si>
  <si>
    <t>LoanTerm_months</t>
  </si>
  <si>
    <t>CreditScore</t>
  </si>
  <si>
    <t>EmploymentStatus</t>
  </si>
  <si>
    <t>Defaulted</t>
  </si>
  <si>
    <t>Employed</t>
  </si>
  <si>
    <t>No</t>
  </si>
  <si>
    <t>Self-Employed</t>
  </si>
  <si>
    <t>Yes</t>
  </si>
  <si>
    <t>Unemployed</t>
  </si>
  <si>
    <t>DefaultFlag</t>
  </si>
  <si>
    <t>DebtToIncomeRatio</t>
  </si>
  <si>
    <t>RiskLevel</t>
  </si>
  <si>
    <t>Grand Total</t>
  </si>
  <si>
    <t>Count of Defaulted</t>
  </si>
  <si>
    <t>What's the lowest count of employment status</t>
  </si>
  <si>
    <t>Avg of CreditScore</t>
  </si>
  <si>
    <t>Which Default method has highest Avg CreditScore</t>
  </si>
  <si>
    <t>What's the highest Avg CreditScore</t>
  </si>
  <si>
    <t>High Risk</t>
  </si>
  <si>
    <t>Low Risk</t>
  </si>
  <si>
    <t>Medium</t>
  </si>
  <si>
    <t>Which RiskLevel has highest default rate</t>
  </si>
  <si>
    <t>What's the highest default rate</t>
  </si>
  <si>
    <t>Avg of LoanTerm_months</t>
  </si>
  <si>
    <t>Employmentstatus</t>
  </si>
  <si>
    <t>Which Employment has highest avg LoanTerm_months</t>
  </si>
  <si>
    <t>What's the value of highest avg LoanTerm_months</t>
  </si>
  <si>
    <t>Which Employment Status has lowest default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</si>
</sst>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8.xlsx]Avg CreditScore by Defaulted!PivotTable2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CreditScore by Defaulted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CreditScore by Defaulted'!$B$3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2F-48F1-BA4D-6EB4057AA4A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2F-48F1-BA4D-6EB4057AA4A0}"/>
              </c:ext>
            </c:extLst>
          </c:dPt>
          <c:cat>
            <c:strRef>
              <c:f>'Avg CreditScore by Defaulted'!$A$4:$A$6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'Avg CreditScore by Defaulted'!$B$4:$B$6</c:f>
              <c:numCache>
                <c:formatCode>General</c:formatCode>
                <c:ptCount val="2"/>
                <c:pt idx="0">
                  <c:v>706</c:v>
                </c:pt>
                <c:pt idx="1">
                  <c:v>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8F1-BA4D-6EB4057AA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990928"/>
        <c:axId val="1564991888"/>
      </c:barChart>
      <c:catAx>
        <c:axId val="15649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1888"/>
        <c:crosses val="autoZero"/>
        <c:auto val="1"/>
        <c:lblAlgn val="ctr"/>
        <c:lblOffset val="100"/>
        <c:noMultiLvlLbl val="0"/>
      </c:catAx>
      <c:valAx>
        <c:axId val="15649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8.xlsx]Default Count by EmploymentStat!PivotTable1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Count by EmploymentStatus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'Default Count by EmploymentStat'!$B$3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A46-4EC2-B13B-492897B399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46-4EC2-B13B-492897B399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46-4EC2-B13B-492897B39907}"/>
              </c:ext>
            </c:extLst>
          </c:dPt>
          <c:cat>
            <c:strRef>
              <c:f>'Default Count by EmploymentStat'!$A$4:$A$7</c:f>
              <c:strCache>
                <c:ptCount val="3"/>
                <c:pt idx="0">
                  <c:v>Unemployed</c:v>
                </c:pt>
                <c:pt idx="1">
                  <c:v>Self-Employed</c:v>
                </c:pt>
                <c:pt idx="2">
                  <c:v>Employed</c:v>
                </c:pt>
              </c:strCache>
            </c:strRef>
          </c:cat>
          <c:val>
            <c:numRef>
              <c:f>'Default Count by EmploymentStat'!$B$4:$B$7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6-4EC2-B13B-492897B39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64977488"/>
        <c:axId val="1564982288"/>
      </c:barChart>
      <c:catAx>
        <c:axId val="1564977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82288"/>
        <c:crosses val="autoZero"/>
        <c:auto val="1"/>
        <c:lblAlgn val="ctr"/>
        <c:lblOffset val="100"/>
        <c:noMultiLvlLbl val="0"/>
      </c:catAx>
      <c:valAx>
        <c:axId val="156498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7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8.xlsx]DefaultFlag by RiskLevel!PivotTable3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DefaultFlag by RiskLevel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'DefaultFlag by RiskLevel'!$B$3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4D-437C-9129-1DBC2AC468EC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D-437C-9129-1DBC2AC468EC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4D-437C-9129-1DBC2AC468EC}"/>
              </c:ext>
            </c:extLst>
          </c:dPt>
          <c:cat>
            <c:strRef>
              <c:f>'DefaultFlag by RiskLevel'!$A$4:$A$7</c:f>
              <c:strCache>
                <c:ptCount val="3"/>
                <c:pt idx="0">
                  <c:v>Medium</c:v>
                </c:pt>
                <c:pt idx="1">
                  <c:v>High Risk</c:v>
                </c:pt>
                <c:pt idx="2">
                  <c:v>Low Risk</c:v>
                </c:pt>
              </c:strCache>
            </c:strRef>
          </c:cat>
          <c:val>
            <c:numRef>
              <c:f>'DefaultFlag by RiskLevel'!$B$4:$B$7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4D-437C-9129-1DBC2AC46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8.xlsx]Avg LoanTerm_months by Employme!PivotTable4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LoanTerm_months by EmploymentStatus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ln>
              <a:solidFill>
                <a:schemeClr val="accent1">
                  <a:lumMod val="50000"/>
                </a:schemeClr>
              </a:solidFill>
            </a:ln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5469816272965877E-2"/>
          <c:y val="0.16606262758821813"/>
          <c:w val="0.93659514435695534"/>
          <c:h val="0.76429240833988743"/>
        </c:manualLayout>
      </c:layout>
      <c:lineChart>
        <c:grouping val="standard"/>
        <c:varyColors val="1"/>
        <c:ser>
          <c:idx val="0"/>
          <c:order val="0"/>
          <c:tx>
            <c:strRef>
              <c:f>'Avg LoanTerm_months by Employme'!$B$3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circle"/>
            <c:size val="5"/>
            <c:spPr>
              <a:ln>
                <a:solidFill>
                  <a:schemeClr val="accent1">
                    <a:lumMod val="50000"/>
                  </a:schemeClr>
                </a:solidFill>
              </a:ln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F8-4925-8E82-475DEB49795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F8-4925-8E82-475DEB49795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F8-4925-8E82-475DEB49795C}"/>
              </c:ext>
            </c:extLst>
          </c:dPt>
          <c:cat>
            <c:strRef>
              <c:f>'Avg LoanTerm_months by Employme'!$A$4:$A$7</c:f>
              <c:strCache>
                <c:ptCount val="3"/>
                <c:pt idx="0">
                  <c:v>Employed</c:v>
                </c:pt>
                <c:pt idx="1">
                  <c:v>Self-Employed</c:v>
                </c:pt>
                <c:pt idx="2">
                  <c:v>Unemployed</c:v>
                </c:pt>
              </c:strCache>
            </c:strRef>
          </c:cat>
          <c:val>
            <c:numRef>
              <c:f>'Avg LoanTerm_months by Employme'!$B$4:$B$7</c:f>
              <c:numCache>
                <c:formatCode>General</c:formatCode>
                <c:ptCount val="3"/>
                <c:pt idx="0">
                  <c:v>43.2</c:v>
                </c:pt>
                <c:pt idx="1">
                  <c:v>36</c:v>
                </c:pt>
                <c:pt idx="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F8-4925-8E82-475DEB497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4998128"/>
        <c:axId val="1565014928"/>
      </c:lineChart>
      <c:catAx>
        <c:axId val="156499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014928"/>
        <c:crosses val="autoZero"/>
        <c:auto val="1"/>
        <c:lblAlgn val="ctr"/>
        <c:lblOffset val="100"/>
        <c:noMultiLvlLbl val="0"/>
      </c:catAx>
      <c:valAx>
        <c:axId val="156501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9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163830</xdr:rowOff>
    </xdr:from>
    <xdr:to>
      <xdr:col>11</xdr:col>
      <xdr:colOff>30480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5F2175-4750-52DC-4E4C-0FB46E74B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179070</xdr:rowOff>
    </xdr:from>
    <xdr:to>
      <xdr:col>11</xdr:col>
      <xdr:colOff>38100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E6383-A4B9-1839-F977-49EF96875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171450</xdr:rowOff>
    </xdr:from>
    <xdr:to>
      <xdr:col>11</xdr:col>
      <xdr:colOff>274320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69B28B-4751-612D-F8DA-6D3E0FFE7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10</xdr:col>
      <xdr:colOff>601980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538AA-E8E0-5EB2-B846-F9FE0A13F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0.884469328703" createdVersion="8" refreshedVersion="8" minRefreshableVersion="3" recordCount="10" xr:uid="{DEA74EF2-42F5-4729-BDA6-CCC8894C14A3}">
  <cacheSource type="worksheet">
    <worksheetSource ref="A1:K11" sheet="Dataset"/>
  </cacheSource>
  <cacheFields count="11">
    <cacheField name="CustomerID" numFmtId="0">
      <sharedItems containsSemiMixedTypes="0" containsString="0" containsNumber="1" containsInteger="1" minValue="2001" maxValue="2010"/>
    </cacheField>
    <cacheField name="Age" numFmtId="0">
      <sharedItems containsSemiMixedTypes="0" containsString="0" containsNumber="1" containsInteger="1" minValue="25" maxValue="50"/>
    </cacheField>
    <cacheField name="Income" numFmtId="164">
      <sharedItems containsSemiMixedTypes="0" containsString="0" containsNumber="1" containsInteger="1" minValue="28000" maxValue="90000" count="10">
        <n v="30000"/>
        <n v="80000"/>
        <n v="50000"/>
        <n v="32000"/>
        <n v="90000"/>
        <n v="40000"/>
        <n v="85000"/>
        <n v="28000"/>
        <n v="60000"/>
        <n v="45000"/>
      </sharedItems>
    </cacheField>
    <cacheField name="LoanAmount" numFmtId="164">
      <sharedItems containsSemiMixedTypes="0" containsString="0" containsNumber="1" containsInteger="1" minValue="9000" maxValue="25000" count="10">
        <n v="10000"/>
        <n v="20000"/>
        <n v="15000"/>
        <n v="12000"/>
        <n v="25000"/>
        <n v="18000"/>
        <n v="22000"/>
        <n v="9000"/>
        <n v="16000"/>
        <n v="14000"/>
      </sharedItems>
    </cacheField>
    <cacheField name="LoanTerm_months" numFmtId="0">
      <sharedItems containsSemiMixedTypes="0" containsString="0" containsNumber="1" containsInteger="1" minValue="24" maxValue="60"/>
    </cacheField>
    <cacheField name="CreditScore" numFmtId="0">
      <sharedItems containsSemiMixedTypes="0" containsString="0" containsNumber="1" containsInteger="1" minValue="590" maxValue="750"/>
    </cacheField>
    <cacheField name="EmploymentStatus" numFmtId="49">
      <sharedItems count="3">
        <s v="Employed"/>
        <s v="Self-Employed"/>
        <s v="Unemployed"/>
      </sharedItems>
    </cacheField>
    <cacheField name="Defaulted" numFmtId="49">
      <sharedItems count="2">
        <s v="No"/>
        <s v="Yes"/>
      </sharedItems>
    </cacheField>
    <cacheField name="DefaultFlag" numFmtId="0">
      <sharedItems containsSemiMixedTypes="0" containsString="0" containsNumber="1" containsInteger="1" minValue="0" maxValue="1"/>
    </cacheField>
    <cacheField name="DebtToIncomeRatio" numFmtId="2">
      <sharedItems containsSemiMixedTypes="0" containsString="0" containsNumber="1" minValue="0.25" maxValue="0.45"/>
    </cacheField>
    <cacheField name="RiskLevel" numFmtId="49">
      <sharedItems count="3">
        <s v="Medium"/>
        <s v="Low Risk"/>
        <s v="High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01"/>
    <n v="25"/>
    <x v="0"/>
    <x v="0"/>
    <n v="24"/>
    <n v="650"/>
    <x v="0"/>
    <x v="0"/>
    <n v="0"/>
    <n v="0.33333333333333331"/>
    <x v="0"/>
  </r>
  <r>
    <n v="2002"/>
    <n v="40"/>
    <x v="1"/>
    <x v="1"/>
    <n v="36"/>
    <n v="720"/>
    <x v="1"/>
    <x v="0"/>
    <n v="0"/>
    <n v="0.25"/>
    <x v="1"/>
  </r>
  <r>
    <n v="2003"/>
    <n v="35"/>
    <x v="2"/>
    <x v="2"/>
    <n v="48"/>
    <n v="680"/>
    <x v="0"/>
    <x v="1"/>
    <n v="1"/>
    <n v="0.3"/>
    <x v="0"/>
  </r>
  <r>
    <n v="2004"/>
    <n v="28"/>
    <x v="3"/>
    <x v="3"/>
    <n v="24"/>
    <n v="600"/>
    <x v="2"/>
    <x v="1"/>
    <n v="1"/>
    <n v="0.375"/>
    <x v="2"/>
  </r>
  <r>
    <n v="2005"/>
    <n v="50"/>
    <x v="4"/>
    <x v="4"/>
    <n v="60"/>
    <n v="750"/>
    <x v="0"/>
    <x v="0"/>
    <n v="0"/>
    <n v="0.27777777777777779"/>
    <x v="1"/>
  </r>
  <r>
    <n v="2006"/>
    <n v="30"/>
    <x v="5"/>
    <x v="5"/>
    <n v="36"/>
    <n v="640"/>
    <x v="1"/>
    <x v="1"/>
    <n v="1"/>
    <n v="0.45"/>
    <x v="2"/>
  </r>
  <r>
    <n v="2007"/>
    <n v="45"/>
    <x v="6"/>
    <x v="6"/>
    <n v="48"/>
    <n v="710"/>
    <x v="0"/>
    <x v="0"/>
    <n v="0"/>
    <n v="0.25882352941176473"/>
    <x v="1"/>
  </r>
  <r>
    <n v="2008"/>
    <n v="27"/>
    <x v="7"/>
    <x v="7"/>
    <n v="24"/>
    <n v="590"/>
    <x v="2"/>
    <x v="1"/>
    <n v="1"/>
    <n v="0.32142857142857145"/>
    <x v="2"/>
  </r>
  <r>
    <n v="2009"/>
    <n v="38"/>
    <x v="8"/>
    <x v="8"/>
    <n v="36"/>
    <n v="700"/>
    <x v="0"/>
    <x v="0"/>
    <n v="0"/>
    <n v="0.26666666666666666"/>
    <x v="0"/>
  </r>
  <r>
    <n v="2010"/>
    <n v="33"/>
    <x v="9"/>
    <x v="9"/>
    <n v="36"/>
    <n v="670"/>
    <x v="1"/>
    <x v="1"/>
    <n v="1"/>
    <n v="0.3111111111111111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8DAE6-21FB-4623-8F06-5DDCEF30AA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faulted">
  <location ref="A3:B6" firstHeaderRow="1" firstDataRow="1" firstDataCol="1"/>
  <pivotFields count="11">
    <pivotField showAll="0"/>
    <pivotField showAll="0"/>
    <pivotField numFmtId="164" showAll="0"/>
    <pivotField numFmtId="164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g of CreditScore" fld="5" subtotal="average" baseField="7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7" type="button" dataOnly="0" labelOnly="1" outline="0" axis="axisRow" fieldPosition="0"/>
    </format>
    <format dxfId="20">
      <pivotArea dataOnly="0" labelOnly="1" fieldPosition="0">
        <references count="1">
          <reference field="7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50495-07BC-414F-A010-4628D4B893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EmploymentStatus">
  <location ref="A3:B7" firstHeaderRow="1" firstDataRow="1" firstDataCol="1"/>
  <pivotFields count="11">
    <pivotField showAll="0"/>
    <pivotField showAll="0"/>
    <pivotField numFmtId="164" showAll="0"/>
    <pivotField numFmtId="164"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2" showAll="0"/>
    <pivotField showAll="0"/>
  </pivotFields>
  <rowFields count="1">
    <field x="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Defaulted" fld="7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0E2AD-997B-44EF-90E3-4EA13D0D8B3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iskLevel">
  <location ref="A3:B7" firstHeaderRow="1" firstDataRow="1" firstDataCol="1"/>
  <pivotFields count="11">
    <pivotField showAll="0"/>
    <pivotField showAll="0"/>
    <pivotField numFmtId="164" showAll="0"/>
    <pivotField numFmtId="164"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numFmtId="2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Defaulted" fld="7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0" type="button" dataOnly="0" labelOnly="1" outline="0" axis="axisRow" fieldPosition="0"/>
    </format>
    <format dxfId="8">
      <pivotArea dataOnly="0" labelOnly="1" fieldPosition="0">
        <references count="1">
          <reference field="1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86876-AA41-4C49-AA48-9C2A3328B4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Employmentstatus">
  <location ref="A3:B7" firstHeaderRow="1" firstDataRow="1" firstDataCol="1"/>
  <pivotFields count="11">
    <pivotField showAll="0"/>
    <pivotField showAll="0"/>
    <pivotField numFmtId="164" showAll="0"/>
    <pivotField numFmtId="164" showAll="0">
      <items count="11">
        <item x="7"/>
        <item x="0"/>
        <item x="3"/>
        <item x="9"/>
        <item x="2"/>
        <item x="8"/>
        <item x="5"/>
        <item x="1"/>
        <item x="6"/>
        <item x="4"/>
        <item t="default"/>
      </items>
    </pivotField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of LoanTerm_months" fld="4" subtotal="average" baseField="6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238B-1863-4AAA-900F-888275893D7E}">
  <dimension ref="A3:B14"/>
  <sheetViews>
    <sheetView workbookViewId="0">
      <selection activeCell="A24" sqref="A24"/>
    </sheetView>
  </sheetViews>
  <sheetFormatPr defaultRowHeight="14.4" x14ac:dyDescent="0.3"/>
  <cols>
    <col min="1" max="1" width="42.88671875" style="3" bestFit="1" customWidth="1"/>
    <col min="2" max="2" width="16.6640625" style="3" bestFit="1" customWidth="1"/>
    <col min="3" max="16384" width="8.88671875" style="3"/>
  </cols>
  <sheetData>
    <row r="3" spans="1:2" x14ac:dyDescent="0.3">
      <c r="A3" s="9" t="s">
        <v>7</v>
      </c>
      <c r="B3" s="3" t="s">
        <v>19</v>
      </c>
    </row>
    <row r="4" spans="1:2" x14ac:dyDescent="0.3">
      <c r="A4" s="3" t="s">
        <v>9</v>
      </c>
      <c r="B4" s="3">
        <v>706</v>
      </c>
    </row>
    <row r="5" spans="1:2" x14ac:dyDescent="0.3">
      <c r="A5" s="3" t="s">
        <v>11</v>
      </c>
      <c r="B5" s="3">
        <v>636</v>
      </c>
    </row>
    <row r="6" spans="1:2" x14ac:dyDescent="0.3">
      <c r="A6" s="3" t="s">
        <v>16</v>
      </c>
      <c r="B6" s="3">
        <v>671</v>
      </c>
    </row>
    <row r="10" spans="1:2" x14ac:dyDescent="0.3">
      <c r="A10" s="1" t="s">
        <v>20</v>
      </c>
      <c r="B10" s="1" t="str">
        <f>_xlfn.XLOOKUP(MAX(B4:B5),B4:B5,A4:A5,)</f>
        <v>No</v>
      </c>
    </row>
    <row r="14" spans="1:2" x14ac:dyDescent="0.3">
      <c r="A14" s="1" t="s">
        <v>21</v>
      </c>
      <c r="B14" s="1">
        <f>VLOOKUP("No",A4:B5,2,FALSE)</f>
        <v>706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54A2-3D44-418E-8832-63AFF25646AD}">
  <sheetPr codeName="Sheet2"/>
  <dimension ref="A3:B15"/>
  <sheetViews>
    <sheetView workbookViewId="0">
      <selection activeCell="B18" sqref="B18"/>
    </sheetView>
  </sheetViews>
  <sheetFormatPr defaultRowHeight="14.4" x14ac:dyDescent="0.3"/>
  <cols>
    <col min="1" max="1" width="45.33203125" style="3" bestFit="1" customWidth="1"/>
    <col min="2" max="2" width="17.21875" style="3" bestFit="1" customWidth="1"/>
    <col min="3" max="16384" width="8.88671875" style="3"/>
  </cols>
  <sheetData>
    <row r="3" spans="1:2" x14ac:dyDescent="0.3">
      <c r="A3" s="9" t="s">
        <v>6</v>
      </c>
      <c r="B3" s="3" t="s">
        <v>17</v>
      </c>
    </row>
    <row r="4" spans="1:2" x14ac:dyDescent="0.3">
      <c r="A4" s="3" t="s">
        <v>12</v>
      </c>
      <c r="B4" s="3">
        <v>2</v>
      </c>
    </row>
    <row r="5" spans="1:2" x14ac:dyDescent="0.3">
      <c r="A5" s="3" t="s">
        <v>10</v>
      </c>
      <c r="B5" s="3">
        <v>3</v>
      </c>
    </row>
    <row r="6" spans="1:2" x14ac:dyDescent="0.3">
      <c r="A6" s="3" t="s">
        <v>8</v>
      </c>
      <c r="B6" s="3">
        <v>5</v>
      </c>
    </row>
    <row r="7" spans="1:2" x14ac:dyDescent="0.3">
      <c r="A7" s="3" t="s">
        <v>16</v>
      </c>
      <c r="B7" s="3">
        <v>10</v>
      </c>
    </row>
    <row r="11" spans="1:2" x14ac:dyDescent="0.3">
      <c r="A11" s="1" t="s">
        <v>31</v>
      </c>
      <c r="B11" s="5" t="str">
        <f>_xlfn.XLOOKUP(MIN(B4:B6),B4:B6,A4:A6,)</f>
        <v>Unemployed</v>
      </c>
    </row>
    <row r="15" spans="1:2" x14ac:dyDescent="0.3">
      <c r="A15" s="1" t="s">
        <v>18</v>
      </c>
      <c r="B15" s="1">
        <f>VLOOKUP(A4,A4:B6,2,FALSE)</f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6BBB-1B88-4001-AD31-20FB336066C9}">
  <dimension ref="A3:B15"/>
  <sheetViews>
    <sheetView workbookViewId="0">
      <selection activeCell="L21" sqref="L21"/>
    </sheetView>
  </sheetViews>
  <sheetFormatPr defaultRowHeight="14.4" x14ac:dyDescent="0.3"/>
  <cols>
    <col min="1" max="1" width="34.109375" style="3" bestFit="1" customWidth="1"/>
    <col min="2" max="2" width="17.21875" style="3" bestFit="1" customWidth="1"/>
    <col min="3" max="16384" width="8.88671875" style="3"/>
  </cols>
  <sheetData>
    <row r="3" spans="1:2" x14ac:dyDescent="0.3">
      <c r="A3" s="9" t="s">
        <v>15</v>
      </c>
      <c r="B3" s="3" t="s">
        <v>17</v>
      </c>
    </row>
    <row r="4" spans="1:2" x14ac:dyDescent="0.3">
      <c r="A4" s="3" t="s">
        <v>24</v>
      </c>
      <c r="B4" s="3">
        <v>4</v>
      </c>
    </row>
    <row r="5" spans="1:2" x14ac:dyDescent="0.3">
      <c r="A5" s="3" t="s">
        <v>22</v>
      </c>
      <c r="B5" s="3">
        <v>3</v>
      </c>
    </row>
    <row r="6" spans="1:2" x14ac:dyDescent="0.3">
      <c r="A6" s="3" t="s">
        <v>23</v>
      </c>
      <c r="B6" s="3">
        <v>3</v>
      </c>
    </row>
    <row r="7" spans="1:2" x14ac:dyDescent="0.3">
      <c r="A7" s="3" t="s">
        <v>16</v>
      </c>
      <c r="B7" s="3">
        <v>10</v>
      </c>
    </row>
    <row r="11" spans="1:2" x14ac:dyDescent="0.3">
      <c r="A11" s="1" t="s">
        <v>25</v>
      </c>
      <c r="B11" s="1" t="str">
        <f>_xlfn.XLOOKUP(B4,B4:B6,A4:A6,)</f>
        <v>Medium</v>
      </c>
    </row>
    <row r="15" spans="1:2" x14ac:dyDescent="0.3">
      <c r="A15" s="1" t="s">
        <v>26</v>
      </c>
      <c r="B15" s="1">
        <f>VLOOKUP(A4,A4:B6,2,FALSE)</f>
        <v>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AE2F-8D53-4E8A-91DE-FFD1E29BF2BC}">
  <dimension ref="A3:B15"/>
  <sheetViews>
    <sheetView workbookViewId="0">
      <selection activeCell="C21" sqref="C21"/>
    </sheetView>
  </sheetViews>
  <sheetFormatPr defaultRowHeight="14.4" x14ac:dyDescent="0.3"/>
  <cols>
    <col min="1" max="1" width="48.21875" style="3" bestFit="1" customWidth="1"/>
    <col min="2" max="2" width="23.109375" style="3" bestFit="1" customWidth="1"/>
    <col min="3" max="16384" width="8.88671875" style="3"/>
  </cols>
  <sheetData>
    <row r="3" spans="1:2" x14ac:dyDescent="0.3">
      <c r="A3" s="9" t="s">
        <v>28</v>
      </c>
      <c r="B3" s="3" t="s">
        <v>27</v>
      </c>
    </row>
    <row r="4" spans="1:2" x14ac:dyDescent="0.3">
      <c r="A4" s="3" t="s">
        <v>8</v>
      </c>
      <c r="B4" s="3">
        <v>43.2</v>
      </c>
    </row>
    <row r="5" spans="1:2" x14ac:dyDescent="0.3">
      <c r="A5" s="3" t="s">
        <v>10</v>
      </c>
      <c r="B5" s="3">
        <v>36</v>
      </c>
    </row>
    <row r="6" spans="1:2" x14ac:dyDescent="0.3">
      <c r="A6" s="3" t="s">
        <v>12</v>
      </c>
      <c r="B6" s="3">
        <v>24</v>
      </c>
    </row>
    <row r="7" spans="1:2" x14ac:dyDescent="0.3">
      <c r="A7" s="3" t="s">
        <v>16</v>
      </c>
      <c r="B7" s="3">
        <v>37.200000000000003</v>
      </c>
    </row>
    <row r="11" spans="1:2" x14ac:dyDescent="0.3">
      <c r="A11" s="1" t="s">
        <v>29</v>
      </c>
      <c r="B11" s="1" t="str">
        <f>_xlfn.XLOOKUP(B4,B4:B6,A4:A6,)</f>
        <v>Employed</v>
      </c>
    </row>
    <row r="15" spans="1:2" x14ac:dyDescent="0.3">
      <c r="A15" s="1" t="s">
        <v>30</v>
      </c>
      <c r="B15" s="1">
        <f>VLOOKUP("Employed",A4:B6,2,FALSE)</f>
        <v>43.2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2DBB-45FE-4547-A028-28D5D7BF4007}">
  <sheetPr codeName="Sheet1"/>
  <dimension ref="A1:K11"/>
  <sheetViews>
    <sheetView tabSelected="1" topLeftCell="A3" workbookViewId="0">
      <selection activeCell="G23" sqref="G23"/>
    </sheetView>
  </sheetViews>
  <sheetFormatPr defaultRowHeight="14.4" x14ac:dyDescent="0.3"/>
  <cols>
    <col min="1" max="1" width="10.88671875" style="3" bestFit="1" customWidth="1"/>
    <col min="2" max="2" width="4.21875" style="3" bestFit="1" customWidth="1"/>
    <col min="3" max="3" width="10.44140625" style="8" bestFit="1" customWidth="1"/>
    <col min="4" max="4" width="12" style="8" bestFit="1" customWidth="1"/>
    <col min="5" max="5" width="17" style="3" bestFit="1" customWidth="1"/>
    <col min="6" max="6" width="10.6640625" style="3" bestFit="1" customWidth="1"/>
    <col min="7" max="7" width="17.21875" style="6" bestFit="1" customWidth="1"/>
    <col min="8" max="8" width="9.21875" style="6" bestFit="1" customWidth="1"/>
    <col min="9" max="9" width="10.44140625" style="3" bestFit="1" customWidth="1"/>
    <col min="10" max="10" width="18" style="4" bestFit="1" customWidth="1"/>
    <col min="11" max="11" width="8.6640625" style="6" bestFit="1" customWidth="1"/>
    <col min="12" max="16384" width="8.88671875" style="3"/>
  </cols>
  <sheetData>
    <row r="1" spans="1:11" x14ac:dyDescent="0.3">
      <c r="A1" s="1" t="s">
        <v>0</v>
      </c>
      <c r="B1" s="1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13</v>
      </c>
      <c r="J1" s="2" t="s">
        <v>14</v>
      </c>
      <c r="K1" s="5" t="s">
        <v>15</v>
      </c>
    </row>
    <row r="2" spans="1:11" x14ac:dyDescent="0.3">
      <c r="A2" s="3">
        <v>2001</v>
      </c>
      <c r="B2" s="3">
        <v>25</v>
      </c>
      <c r="C2" s="8">
        <v>30000</v>
      </c>
      <c r="D2" s="8">
        <v>10000</v>
      </c>
      <c r="E2" s="3">
        <v>24</v>
      </c>
      <c r="F2" s="3">
        <v>650</v>
      </c>
      <c r="G2" s="6" t="s">
        <v>8</v>
      </c>
      <c r="H2" s="6" t="s">
        <v>9</v>
      </c>
      <c r="I2" s="3">
        <f>IF(H2="Yes",1,0)</f>
        <v>0</v>
      </c>
      <c r="J2" s="4">
        <f>D2/C2</f>
        <v>0.33333333333333331</v>
      </c>
      <c r="K2" s="6" t="str">
        <f>IF(F2&lt;650,"High Risk",IF(F2&lt;=700,"Medium","Low Risk"))</f>
        <v>Medium</v>
      </c>
    </row>
    <row r="3" spans="1:11" x14ac:dyDescent="0.3">
      <c r="A3" s="3">
        <v>2002</v>
      </c>
      <c r="B3" s="3">
        <v>40</v>
      </c>
      <c r="C3" s="8">
        <v>80000</v>
      </c>
      <c r="D3" s="8">
        <v>20000</v>
      </c>
      <c r="E3" s="3">
        <v>36</v>
      </c>
      <c r="F3" s="3">
        <v>720</v>
      </c>
      <c r="G3" s="6" t="s">
        <v>10</v>
      </c>
      <c r="H3" s="6" t="s">
        <v>9</v>
      </c>
      <c r="I3" s="3">
        <f t="shared" ref="I3:I11" si="0">IF(H3="Yes",1,0)</f>
        <v>0</v>
      </c>
      <c r="J3" s="4">
        <f t="shared" ref="J3:J11" si="1">D3/C3</f>
        <v>0.25</v>
      </c>
      <c r="K3" s="6" t="str">
        <f t="shared" ref="K3:K11" si="2">IF(F3&lt;650,"High Risk",IF(F3&lt;=700,"Medium","Low Risk"))</f>
        <v>Low Risk</v>
      </c>
    </row>
    <row r="4" spans="1:11" x14ac:dyDescent="0.3">
      <c r="A4" s="3">
        <v>2003</v>
      </c>
      <c r="B4" s="3">
        <v>35</v>
      </c>
      <c r="C4" s="8">
        <v>50000</v>
      </c>
      <c r="D4" s="8">
        <v>15000</v>
      </c>
      <c r="E4" s="3">
        <v>48</v>
      </c>
      <c r="F4" s="3">
        <v>680</v>
      </c>
      <c r="G4" s="6" t="s">
        <v>8</v>
      </c>
      <c r="H4" s="6" t="s">
        <v>11</v>
      </c>
      <c r="I4" s="3">
        <f t="shared" si="0"/>
        <v>1</v>
      </c>
      <c r="J4" s="4">
        <f t="shared" si="1"/>
        <v>0.3</v>
      </c>
      <c r="K4" s="6" t="str">
        <f t="shared" si="2"/>
        <v>Medium</v>
      </c>
    </row>
    <row r="5" spans="1:11" x14ac:dyDescent="0.3">
      <c r="A5" s="3">
        <v>2004</v>
      </c>
      <c r="B5" s="3">
        <v>28</v>
      </c>
      <c r="C5" s="8">
        <v>32000</v>
      </c>
      <c r="D5" s="8">
        <v>12000</v>
      </c>
      <c r="E5" s="3">
        <v>24</v>
      </c>
      <c r="F5" s="3">
        <v>600</v>
      </c>
      <c r="G5" s="6" t="s">
        <v>12</v>
      </c>
      <c r="H5" s="6" t="s">
        <v>11</v>
      </c>
      <c r="I5" s="3">
        <f t="shared" si="0"/>
        <v>1</v>
      </c>
      <c r="J5" s="4">
        <f t="shared" si="1"/>
        <v>0.375</v>
      </c>
      <c r="K5" s="6" t="str">
        <f t="shared" si="2"/>
        <v>High Risk</v>
      </c>
    </row>
    <row r="6" spans="1:11" x14ac:dyDescent="0.3">
      <c r="A6" s="3">
        <v>2005</v>
      </c>
      <c r="B6" s="3">
        <v>50</v>
      </c>
      <c r="C6" s="8">
        <v>90000</v>
      </c>
      <c r="D6" s="8">
        <v>25000</v>
      </c>
      <c r="E6" s="3">
        <v>60</v>
      </c>
      <c r="F6" s="3">
        <v>750</v>
      </c>
      <c r="G6" s="6" t="s">
        <v>8</v>
      </c>
      <c r="H6" s="6" t="s">
        <v>9</v>
      </c>
      <c r="I6" s="3">
        <f t="shared" si="0"/>
        <v>0</v>
      </c>
      <c r="J6" s="4">
        <f t="shared" si="1"/>
        <v>0.27777777777777779</v>
      </c>
      <c r="K6" s="6" t="str">
        <f t="shared" si="2"/>
        <v>Low Risk</v>
      </c>
    </row>
    <row r="7" spans="1:11" x14ac:dyDescent="0.3">
      <c r="A7" s="3">
        <v>2006</v>
      </c>
      <c r="B7" s="3">
        <v>30</v>
      </c>
      <c r="C7" s="8">
        <v>40000</v>
      </c>
      <c r="D7" s="8">
        <v>18000</v>
      </c>
      <c r="E7" s="3">
        <v>36</v>
      </c>
      <c r="F7" s="3">
        <v>640</v>
      </c>
      <c r="G7" s="6" t="s">
        <v>10</v>
      </c>
      <c r="H7" s="6" t="s">
        <v>11</v>
      </c>
      <c r="I7" s="3">
        <f t="shared" si="0"/>
        <v>1</v>
      </c>
      <c r="J7" s="4">
        <f t="shared" si="1"/>
        <v>0.45</v>
      </c>
      <c r="K7" s="6" t="str">
        <f t="shared" si="2"/>
        <v>High Risk</v>
      </c>
    </row>
    <row r="8" spans="1:11" x14ac:dyDescent="0.3">
      <c r="A8" s="3">
        <v>2007</v>
      </c>
      <c r="B8" s="3">
        <v>45</v>
      </c>
      <c r="C8" s="8">
        <v>85000</v>
      </c>
      <c r="D8" s="8">
        <v>22000</v>
      </c>
      <c r="E8" s="3">
        <v>48</v>
      </c>
      <c r="F8" s="3">
        <v>710</v>
      </c>
      <c r="G8" s="6" t="s">
        <v>8</v>
      </c>
      <c r="H8" s="6" t="s">
        <v>9</v>
      </c>
      <c r="I8" s="3">
        <f t="shared" si="0"/>
        <v>0</v>
      </c>
      <c r="J8" s="4">
        <f t="shared" si="1"/>
        <v>0.25882352941176473</v>
      </c>
      <c r="K8" s="6" t="str">
        <f t="shared" si="2"/>
        <v>Low Risk</v>
      </c>
    </row>
    <row r="9" spans="1:11" x14ac:dyDescent="0.3">
      <c r="A9" s="3">
        <v>2008</v>
      </c>
      <c r="B9" s="3">
        <v>27</v>
      </c>
      <c r="C9" s="8">
        <v>28000</v>
      </c>
      <c r="D9" s="8">
        <v>9000</v>
      </c>
      <c r="E9" s="3">
        <v>24</v>
      </c>
      <c r="F9" s="3">
        <v>590</v>
      </c>
      <c r="G9" s="6" t="s">
        <v>12</v>
      </c>
      <c r="H9" s="6" t="s">
        <v>11</v>
      </c>
      <c r="I9" s="3">
        <f t="shared" si="0"/>
        <v>1</v>
      </c>
      <c r="J9" s="4">
        <f t="shared" si="1"/>
        <v>0.32142857142857145</v>
      </c>
      <c r="K9" s="6" t="str">
        <f t="shared" si="2"/>
        <v>High Risk</v>
      </c>
    </row>
    <row r="10" spans="1:11" x14ac:dyDescent="0.3">
      <c r="A10" s="3">
        <v>2009</v>
      </c>
      <c r="B10" s="3">
        <v>38</v>
      </c>
      <c r="C10" s="8">
        <v>60000</v>
      </c>
      <c r="D10" s="8">
        <v>16000</v>
      </c>
      <c r="E10" s="3">
        <v>36</v>
      </c>
      <c r="F10" s="3">
        <v>700</v>
      </c>
      <c r="G10" s="6" t="s">
        <v>8</v>
      </c>
      <c r="H10" s="6" t="s">
        <v>9</v>
      </c>
      <c r="I10" s="3">
        <f t="shared" si="0"/>
        <v>0</v>
      </c>
      <c r="J10" s="4">
        <f t="shared" si="1"/>
        <v>0.26666666666666666</v>
      </c>
      <c r="K10" s="6" t="str">
        <f t="shared" si="2"/>
        <v>Medium</v>
      </c>
    </row>
    <row r="11" spans="1:11" x14ac:dyDescent="0.3">
      <c r="A11" s="3">
        <v>2010</v>
      </c>
      <c r="B11" s="3">
        <v>33</v>
      </c>
      <c r="C11" s="8">
        <v>45000</v>
      </c>
      <c r="D11" s="8">
        <v>14000</v>
      </c>
      <c r="E11" s="3">
        <v>36</v>
      </c>
      <c r="F11" s="3">
        <v>670</v>
      </c>
      <c r="G11" s="6" t="s">
        <v>10</v>
      </c>
      <c r="H11" s="6" t="s">
        <v>11</v>
      </c>
      <c r="I11" s="3">
        <f t="shared" si="0"/>
        <v>1</v>
      </c>
      <c r="J11" s="4">
        <f t="shared" si="1"/>
        <v>0.31111111111111112</v>
      </c>
      <c r="K11" s="6" t="str">
        <f t="shared" si="2"/>
        <v>Medium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Avg CreditScore by Defaulted</vt:lpstr>
      <vt:lpstr>Default Count by EmploymentStat</vt:lpstr>
      <vt:lpstr>DefaultFlag by RiskLevel</vt:lpstr>
      <vt:lpstr>Avg LoanTerm_months by Employme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2026-04-18T15:28:48Z</dcterms:created>
  <dcterms:modified xsi:type="dcterms:W3CDTF">2026-04-19T17:27:16Z</dcterms:modified>
</cp:coreProperties>
</file>