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9\"/>
    </mc:Choice>
  </mc:AlternateContent>
  <xr:revisionPtr revIDLastSave="0" documentId="13_ncr:1_{4264C82A-064C-456D-A1D3-F68763AAAB7E}" xr6:coauthVersionLast="47" xr6:coauthVersionMax="47" xr10:uidLastSave="{00000000-0000-0000-0000-000000000000}"/>
  <bookViews>
    <workbookView xWindow="-108" yWindow="-108" windowWidth="23256" windowHeight="12456" xr2:uid="{2909ACB6-8362-4A95-A89F-696C3EE04B0D}"/>
  </bookViews>
  <sheets>
    <sheet name="Avg Customer Satisfaction by Ag" sheetId="4" r:id="rId1"/>
    <sheet name="Avg Resolution Time by Issue ty" sheetId="2" r:id="rId2"/>
    <sheet name="Ticket Count by Priority" sheetId="3" r:id="rId3"/>
    <sheet name="Ticket count by Escalated" sheetId="5" r:id="rId4"/>
    <sheet name="Escalation Flag by Issue Type" sheetId="6" r:id="rId5"/>
    <sheet name="Ticket Count by Satisfaction Le" sheetId="7" r:id="rId6"/>
    <sheet name="Dataset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B9" i="7"/>
  <c r="B17" i="6"/>
  <c r="B13" i="6" a="1"/>
  <c r="B13" i="6" s="1"/>
  <c r="B14" i="5"/>
  <c r="B10" i="5"/>
  <c r="B15" i="4"/>
  <c r="B11" i="4"/>
  <c r="B14" i="3"/>
  <c r="B11" i="3"/>
  <c r="B16" i="2"/>
  <c r="B12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<sst xmlns="http://schemas.openxmlformats.org/spreadsheetml/2006/main" count="100" uniqueCount="42">
  <si>
    <t>TicketID</t>
  </si>
  <si>
    <t>Date</t>
  </si>
  <si>
    <t>IssueType</t>
  </si>
  <si>
    <t>Priority</t>
  </si>
  <si>
    <t>ResolutionTime_hours</t>
  </si>
  <si>
    <t>Agent</t>
  </si>
  <si>
    <t>CustomerSatisfaction</t>
  </si>
  <si>
    <t>Escalated</t>
  </si>
  <si>
    <t>Login Issue</t>
  </si>
  <si>
    <t>High</t>
  </si>
  <si>
    <t>A1</t>
  </si>
  <si>
    <t>Yes</t>
  </si>
  <si>
    <t>Payment Issue</t>
  </si>
  <si>
    <t>Medium</t>
  </si>
  <si>
    <t>A2</t>
  </si>
  <si>
    <t>No</t>
  </si>
  <si>
    <t>Bug Report</t>
  </si>
  <si>
    <t>A3</t>
  </si>
  <si>
    <t>Feature Request</t>
  </si>
  <si>
    <t>Low</t>
  </si>
  <si>
    <t>EscalationFlag</t>
  </si>
  <si>
    <t>SatisfactionLevel</t>
  </si>
  <si>
    <t>ResolutionSpeed</t>
  </si>
  <si>
    <t>Grand Total</t>
  </si>
  <si>
    <t>Avg ResolutionTime_hours</t>
  </si>
  <si>
    <t>Issue Type</t>
  </si>
  <si>
    <t>Which Issue type has been resolved quickly</t>
  </si>
  <si>
    <t>Count of TicketID</t>
  </si>
  <si>
    <t>Which Priority has highest quantity</t>
  </si>
  <si>
    <t>What's the max priority quantity</t>
  </si>
  <si>
    <t>What's the min time taken for issue resolvation</t>
  </si>
  <si>
    <t>Avg CustomerSatisfaction</t>
  </si>
  <si>
    <t>Who is the best performing Agent</t>
  </si>
  <si>
    <t>What's the best Customer Satisfaction rate</t>
  </si>
  <si>
    <t>How many tickets were escalated</t>
  </si>
  <si>
    <t>How many tickets were not escalated</t>
  </si>
  <si>
    <t>Sum of EscalationFlag</t>
  </si>
  <si>
    <t>Issue type</t>
  </si>
  <si>
    <t>Which Issue types have highest escalation rate</t>
  </si>
  <si>
    <t>What's the highest escalation rate</t>
  </si>
  <si>
    <t>Which Level has lowest satisfaction</t>
  </si>
  <si>
    <t>How many customers are highly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</si>
</sst>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9.xlsx]Avg Customer Satisfaction by Ag!PivotTable2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Customer Satisfaction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Customer Satisfaction by Ag'!$B$3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E3-4CCD-B558-6F541B65FAC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E3-4CCD-B558-6F541B65FAC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E3-4CCD-B558-6F541B65FAC9}"/>
              </c:ext>
            </c:extLst>
          </c:dPt>
          <c:cat>
            <c:strRef>
              <c:f>'Avg Customer Satisfaction by Ag'!$A$4:$A$7</c:f>
              <c:strCache>
                <c:ptCount val="3"/>
                <c:pt idx="0">
                  <c:v>A2</c:v>
                </c:pt>
                <c:pt idx="1">
                  <c:v>A1</c:v>
                </c:pt>
                <c:pt idx="2">
                  <c:v>A3</c:v>
                </c:pt>
              </c:strCache>
            </c:strRef>
          </c:cat>
          <c:val>
            <c:numRef>
              <c:f>'Avg Customer Satisfaction by Ag'!$B$4:$B$7</c:f>
              <c:numCache>
                <c:formatCode>0.00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3-4CCD-B558-6F541B65F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911152"/>
        <c:axId val="374909232"/>
      </c:barChart>
      <c:catAx>
        <c:axId val="37491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09232"/>
        <c:crosses val="autoZero"/>
        <c:auto val="1"/>
        <c:lblAlgn val="ctr"/>
        <c:lblOffset val="100"/>
        <c:noMultiLvlLbl val="0"/>
      </c:catAx>
      <c:valAx>
        <c:axId val="3749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1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9.xlsx]Avg Resolution Time by Issue 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Resolution Time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'Avg Resolution Time by Issue ty'!$B$3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D-4FFC-B8E7-F839F3240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0D-4FFC-B8E7-F839F3240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D-4FFC-B8E7-F839F3240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0D-4FFC-B8E7-F839F324029E}"/>
              </c:ext>
            </c:extLst>
          </c:dPt>
          <c:cat>
            <c:strRef>
              <c:f>'Avg Resolution Time by Issue ty'!$A$4:$A$8</c:f>
              <c:strCache>
                <c:ptCount val="4"/>
                <c:pt idx="0">
                  <c:v>Feature Request</c:v>
                </c:pt>
                <c:pt idx="1">
                  <c:v>Login Issue</c:v>
                </c:pt>
                <c:pt idx="2">
                  <c:v>Payment Issue</c:v>
                </c:pt>
                <c:pt idx="3">
                  <c:v>Bug Report</c:v>
                </c:pt>
              </c:strCache>
            </c:strRef>
          </c:cat>
          <c:val>
            <c:numRef>
              <c:f>'Avg Resolution Time by Issue ty'!$B$4:$B$8</c:f>
              <c:numCache>
                <c:formatCode>General</c:formatCode>
                <c:ptCount val="4"/>
                <c:pt idx="0">
                  <c:v>1.5</c:v>
                </c:pt>
                <c:pt idx="1">
                  <c:v>4</c:v>
                </c:pt>
                <c:pt idx="2">
                  <c:v>5</c:v>
                </c:pt>
                <c:pt idx="3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0-4B3C-95F2-8008811E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4219280"/>
        <c:axId val="2044227920"/>
      </c:barChart>
      <c:catAx>
        <c:axId val="204421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27920"/>
        <c:crosses val="autoZero"/>
        <c:auto val="1"/>
        <c:lblAlgn val="ctr"/>
        <c:lblOffset val="100"/>
        <c:noMultiLvlLbl val="0"/>
      </c:catAx>
      <c:valAx>
        <c:axId val="204422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9.xlsx]Ticket Count by Priority!PivotTable1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'Ticket Count by Priority'!$B$3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4D-419F-B894-2DEB14F10AF6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D-419F-B894-2DEB14F10AF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4D-419F-B894-2DEB14F10AF6}"/>
              </c:ext>
            </c:extLst>
          </c:dPt>
          <c:cat>
            <c:strRef>
              <c:f>'Ticket Count by Priority'!$A$4:$A$7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'Ticket Count by Priority'!$B$4:$B$7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D-419F-B894-2DEB14F1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9.xlsx]Ticket count by Escalated!PivotTable3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Escalated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'Ticket count by Escalated'!$B$3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5F-4E81-9CEB-E402F678A2F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5F-4E81-9CEB-E402F678A2F3}"/>
              </c:ext>
            </c:extLst>
          </c:dPt>
          <c:cat>
            <c:strRef>
              <c:f>'Ticket count by Escalated'!$A$4:$A$6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'Ticket count by Escalated'!$B$4:$B$6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F-4E81-9CEB-E402F678A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828528"/>
        <c:axId val="239830448"/>
      </c:barChart>
      <c:catAx>
        <c:axId val="23982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30448"/>
        <c:crosses val="autoZero"/>
        <c:auto val="1"/>
        <c:lblAlgn val="ctr"/>
        <c:lblOffset val="100"/>
        <c:noMultiLvlLbl val="0"/>
      </c:catAx>
      <c:valAx>
        <c:axId val="2398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2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9.xlsx]Escalation Flag by Issue 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Escalation Flag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tx2">
              <a:lumMod val="5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775371828521448E-2"/>
          <c:y val="0.17171296296296296"/>
          <c:w val="0.86735608048993884"/>
          <c:h val="0.74403579760863225"/>
        </c:manualLayout>
      </c:layout>
      <c:bar3DChart>
        <c:barDir val="col"/>
        <c:grouping val="standard"/>
        <c:varyColors val="1"/>
        <c:ser>
          <c:idx val="0"/>
          <c:order val="0"/>
          <c:tx>
            <c:strRef>
              <c:f>'Escalation Flag by Issue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158-48AD-863F-FDED97A1E76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FCFC-46A2-AC53-5030A1E57FB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CFC-46A2-AC53-5030A1E57FB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FCFC-46A2-AC53-5030A1E57FB1}"/>
              </c:ext>
            </c:extLst>
          </c:dPt>
          <c:cat>
            <c:strRef>
              <c:f>'Escalation Flag by Issue Type'!$A$4:$A$8</c:f>
              <c:strCache>
                <c:ptCount val="4"/>
                <c:pt idx="0">
                  <c:v>Payment Issue</c:v>
                </c:pt>
                <c:pt idx="1">
                  <c:v>Bug Report</c:v>
                </c:pt>
                <c:pt idx="2">
                  <c:v>Login Issue</c:v>
                </c:pt>
                <c:pt idx="3">
                  <c:v>Feature Request</c:v>
                </c:pt>
              </c:strCache>
            </c:strRef>
          </c:cat>
          <c:val>
            <c:numRef>
              <c:f>'Escalation Flag by Issue Type'!$B$4:$B$8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3-FCFC-46A2-AC53-5030A1E57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09172880"/>
        <c:axId val="709189200"/>
        <c:axId val="711977200"/>
      </c:bar3DChart>
      <c:catAx>
        <c:axId val="7091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89200"/>
        <c:crosses val="autoZero"/>
        <c:auto val="1"/>
        <c:lblAlgn val="ctr"/>
        <c:lblOffset val="100"/>
        <c:noMultiLvlLbl val="0"/>
      </c:catAx>
      <c:valAx>
        <c:axId val="7091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2880"/>
        <c:crosses val="autoZero"/>
        <c:crossBetween val="between"/>
      </c:valAx>
      <c:serAx>
        <c:axId val="711977200"/>
        <c:scaling>
          <c:orientation val="minMax"/>
        </c:scaling>
        <c:delete val="1"/>
        <c:axPos val="b"/>
        <c:majorTickMark val="out"/>
        <c:minorTickMark val="none"/>
        <c:tickLblPos val="nextTo"/>
        <c:crossAx val="70918920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9.xlsx]Ticket Count by Satisfaction 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Satisfaction Level</a:t>
            </a:r>
          </a:p>
        </c:rich>
      </c:tx>
      <c:layout>
        <c:manualLayout>
          <c:xMode val="edge"/>
          <c:yMode val="edge"/>
          <c:x val="0.1745833333333333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86382327209099"/>
          <c:y val="0.19847003499562554"/>
          <c:w val="0.45036242344706912"/>
          <c:h val="0.75060403907844853"/>
        </c:manualLayout>
      </c:layout>
      <c:doughnutChart>
        <c:varyColors val="1"/>
        <c:ser>
          <c:idx val="0"/>
          <c:order val="0"/>
          <c:tx>
            <c:strRef>
              <c:f>'Ticket Count by Satisfaction 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E6-4441-A1CB-82A615B53806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E6-4441-A1CB-82A615B5380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E6-4441-A1CB-82A615B53806}"/>
              </c:ext>
            </c:extLst>
          </c:dPt>
          <c:cat>
            <c:strRef>
              <c:f>'Ticket Count by Satisfaction Le'!$A$2:$A$5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'Ticket Count by Satisfaction Le'!$B$2:$B$5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6-4441-A1CB-82A615B5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148590</xdr:rowOff>
    </xdr:from>
    <xdr:to>
      <xdr:col>12</xdr:col>
      <xdr:colOff>15240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B40B9-26A9-E5CE-0099-7989F66F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179070</xdr:rowOff>
    </xdr:from>
    <xdr:to>
      <xdr:col>12</xdr:col>
      <xdr:colOff>15240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47412-E2D0-7790-AC28-2326F46FD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171450</xdr:rowOff>
    </xdr:from>
    <xdr:to>
      <xdr:col>10</xdr:col>
      <xdr:colOff>480060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41607-2D5B-8A1F-B1A6-2A870D1AE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179070</xdr:rowOff>
    </xdr:from>
    <xdr:to>
      <xdr:col>11</xdr:col>
      <xdr:colOff>312420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F8F04-DAB6-D282-EDF7-F343543F0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80010</xdr:rowOff>
    </xdr:from>
    <xdr:to>
      <xdr:col>10</xdr:col>
      <xdr:colOff>327660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F5580-8A60-81C6-EA94-AEAC6A33A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A35D3-1420-4CE5-5E00-1F104E514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526432638886" createdVersion="8" refreshedVersion="8" minRefreshableVersion="3" recordCount="10" xr:uid="{D35E7EA5-852B-4BAA-8042-588D1FE077D4}">
  <cacheSource type="worksheet">
    <worksheetSource ref="A1:K11" sheet="Dataset"/>
  </cacheSource>
  <cacheFields count="11">
    <cacheField name="TicketID" numFmtId="0">
      <sharedItems containsSemiMixedTypes="0" containsString="0" containsNumber="1" containsInteger="1" minValue="3001" maxValue="3010"/>
    </cacheField>
    <cacheField name="Date" numFmtId="14">
      <sharedItems containsSemiMixedTypes="0" containsNonDate="0" containsDate="1" containsString="0" minDate="2026-04-10T00:00:00" maxDate="2026-04-15T00:00:00" count="5">
        <d v="2026-04-10T00:00:00"/>
        <d v="2026-04-11T00:00:00"/>
        <d v="2026-04-12T00:00:00"/>
        <d v="2026-04-13T00:00:00"/>
        <d v="2026-04-14T00:00:00"/>
      </sharedItems>
    </cacheField>
    <cacheField name="IssueType" numFmtId="49">
      <sharedItems count="4">
        <s v="Login Issue"/>
        <s v="Payment Issue"/>
        <s v="Bug Report"/>
        <s v="Feature Request"/>
      </sharedItems>
    </cacheField>
    <cacheField name="Priority" numFmtId="49">
      <sharedItems count="3">
        <s v="High"/>
        <s v="Medium"/>
        <s v="Low"/>
      </sharedItems>
    </cacheField>
    <cacheField name="ResolutionTime_hours" numFmtId="0">
      <sharedItems containsSemiMixedTypes="0" containsString="0" containsNumber="1" containsInteger="1" minValue="1" maxValue="8"/>
    </cacheField>
    <cacheField name="Agent" numFmtId="49">
      <sharedItems count="3">
        <s v="A1"/>
        <s v="A2"/>
        <s v="A3"/>
      </sharedItems>
    </cacheField>
    <cacheField name="CustomerSatisfaction" numFmtId="0">
      <sharedItems containsSemiMixedTypes="0" containsString="0" containsNumber="1" containsInteger="1" minValue="2" maxValue="5"/>
    </cacheField>
    <cacheField name="Escalated" numFmtId="49">
      <sharedItems count="2">
        <s v="Yes"/>
        <s v="No"/>
      </sharedItems>
    </cacheField>
    <cacheField name="EscalationFlag" numFmtId="0">
      <sharedItems containsSemiMixedTypes="0" containsString="0" containsNumber="1" containsInteger="1" minValue="0" maxValue="1"/>
    </cacheField>
    <cacheField name="SatisfactionLevel" numFmtId="49">
      <sharedItems count="3">
        <s v="Medium"/>
        <s v="Low"/>
        <s v="High"/>
      </sharedItems>
    </cacheField>
    <cacheField name="ResolutionSpeed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3001"/>
    <x v="0"/>
    <x v="0"/>
    <x v="0"/>
    <n v="5"/>
    <x v="0"/>
    <n v="3"/>
    <x v="0"/>
    <n v="1"/>
    <x v="0"/>
    <s v="Moderate"/>
  </r>
  <r>
    <n v="3002"/>
    <x v="0"/>
    <x v="1"/>
    <x v="1"/>
    <n v="3"/>
    <x v="1"/>
    <n v="4"/>
    <x v="1"/>
    <n v="0"/>
    <x v="0"/>
    <s v="Fast"/>
  </r>
  <r>
    <n v="3003"/>
    <x v="1"/>
    <x v="2"/>
    <x v="0"/>
    <n v="8"/>
    <x v="2"/>
    <n v="2"/>
    <x v="0"/>
    <n v="1"/>
    <x v="1"/>
    <s v="Slow"/>
  </r>
  <r>
    <n v="3004"/>
    <x v="1"/>
    <x v="3"/>
    <x v="2"/>
    <n v="2"/>
    <x v="0"/>
    <n v="5"/>
    <x v="1"/>
    <n v="0"/>
    <x v="2"/>
    <s v="Fast"/>
  </r>
  <r>
    <n v="3005"/>
    <x v="2"/>
    <x v="0"/>
    <x v="1"/>
    <n v="4"/>
    <x v="1"/>
    <n v="3"/>
    <x v="1"/>
    <n v="0"/>
    <x v="0"/>
    <s v="Moderate"/>
  </r>
  <r>
    <n v="3006"/>
    <x v="2"/>
    <x v="1"/>
    <x v="0"/>
    <n v="6"/>
    <x v="2"/>
    <n v="2"/>
    <x v="0"/>
    <n v="1"/>
    <x v="1"/>
    <s v="Moderate"/>
  </r>
  <r>
    <n v="3007"/>
    <x v="3"/>
    <x v="2"/>
    <x v="0"/>
    <n v="7"/>
    <x v="0"/>
    <n v="2"/>
    <x v="0"/>
    <n v="1"/>
    <x v="1"/>
    <s v="Slow"/>
  </r>
  <r>
    <n v="3008"/>
    <x v="3"/>
    <x v="3"/>
    <x v="2"/>
    <n v="1"/>
    <x v="1"/>
    <n v="5"/>
    <x v="1"/>
    <n v="0"/>
    <x v="2"/>
    <s v="Fast"/>
  </r>
  <r>
    <n v="3009"/>
    <x v="4"/>
    <x v="0"/>
    <x v="1"/>
    <n v="3"/>
    <x v="2"/>
    <n v="4"/>
    <x v="1"/>
    <n v="0"/>
    <x v="0"/>
    <s v="Fast"/>
  </r>
  <r>
    <n v="3010"/>
    <x v="4"/>
    <x v="1"/>
    <x v="0"/>
    <n v="6"/>
    <x v="0"/>
    <n v="2"/>
    <x v="0"/>
    <n v="1"/>
    <x v="1"/>
    <s v="Moder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00B38-ABC7-451B-BBD0-9C9809EDEB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nt">
  <location ref="A3:B7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g CustomerSatisfaction" fld="6" subtotal="average" baseField="5" baseItem="0" numFmtId="2"/>
  </dataFields>
  <formats count="8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5" type="button" dataOnly="0" labelOnly="1" outline="0" axis="axisRow" fieldPosition="0"/>
    </format>
    <format dxfId="32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5ACB3-F995-4B30-9453-D9AD2B633E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Issue Type">
  <location ref="A3:B8" firstHeaderRow="1" firstDataRow="1" firstDataCol="1"/>
  <pivotFields count="11">
    <pivotField showAll="0"/>
    <pivotField numFmtId="14"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g ResolutionTime_hours" fld="4" subtotal="average" baseField="2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05CE2-4780-433F-8AB6-3EB83A0FD2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iority">
  <location ref="A3:B7" firstHeaderRow="1" firstDataRow="1" firstDataCol="1"/>
  <pivotFields count="11">
    <pivotField dataField="1" showAll="0"/>
    <pivotField numFmtId="14"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icketID" fld="0" subtotal="count" baseField="3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5495E-821D-4199-9B88-9DD6AC944F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scalated">
  <location ref="A3:B6" firstHeaderRow="1" firstDataRow="1" firstDataCol="1"/>
  <pivotFields count="11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icketID" fld="0" subtotal="count" baseField="7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A4A83-9756-485D-800B-D13C7EE1D6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ssue type">
  <location ref="A3:B8" firstHeaderRow="1" firstDataRow="1" firstDataCol="1"/>
  <pivotFields count="11">
    <pivotField showAll="0"/>
    <pivotField numFmtId="14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EscalationFlag" fld="8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5432C-F8AB-43FE-A042-0A322C50707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tisfactionLevel">
  <location ref="A1:B5" firstHeaderRow="1" firstDataRow="1" firstDataCol="1"/>
  <pivotFields count="11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TicketID" fld="0" subtotal="count" baseField="9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A175-653C-4C84-8EFF-113400295D6C}">
  <sheetPr codeName="Sheet4"/>
  <dimension ref="A3:B15"/>
  <sheetViews>
    <sheetView tabSelected="1" workbookViewId="0">
      <selection activeCell="M14" sqref="M14"/>
    </sheetView>
  </sheetViews>
  <sheetFormatPr defaultRowHeight="14.4" x14ac:dyDescent="0.3"/>
  <cols>
    <col min="1" max="1" width="37.21875" style="2" bestFit="1" customWidth="1"/>
    <col min="2" max="2" width="22.88671875" style="12" bestFit="1" customWidth="1"/>
    <col min="3" max="16384" width="8.88671875" style="2"/>
  </cols>
  <sheetData>
    <row r="3" spans="1:2" x14ac:dyDescent="0.3">
      <c r="A3" s="10" t="s">
        <v>5</v>
      </c>
      <c r="B3" s="12" t="s">
        <v>31</v>
      </c>
    </row>
    <row r="4" spans="1:2" x14ac:dyDescent="0.3">
      <c r="A4" s="2" t="s">
        <v>14</v>
      </c>
      <c r="B4" s="12">
        <v>4</v>
      </c>
    </row>
    <row r="5" spans="1:2" x14ac:dyDescent="0.3">
      <c r="A5" s="2" t="s">
        <v>10</v>
      </c>
      <c r="B5" s="12">
        <v>3</v>
      </c>
    </row>
    <row r="6" spans="1:2" x14ac:dyDescent="0.3">
      <c r="A6" s="2" t="s">
        <v>17</v>
      </c>
      <c r="B6" s="12">
        <v>2.6666666666666665</v>
      </c>
    </row>
    <row r="7" spans="1:2" x14ac:dyDescent="0.3">
      <c r="A7" s="2" t="s">
        <v>23</v>
      </c>
      <c r="B7" s="12">
        <v>3.2</v>
      </c>
    </row>
    <row r="11" spans="1:2" x14ac:dyDescent="0.3">
      <c r="A11" s="11" t="s">
        <v>32</v>
      </c>
      <c r="B11" s="13" t="str">
        <f>_xlfn.XLOOKUP(B4,B4:B6,A4:A6,)</f>
        <v>A2</v>
      </c>
    </row>
    <row r="15" spans="1:2" x14ac:dyDescent="0.3">
      <c r="A15" s="11" t="s">
        <v>33</v>
      </c>
      <c r="B15" s="13">
        <f>VLOOKUP(A4,A4:B6,2,FALSE)</f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50E5-C80C-44DA-A3C6-EB0C57E4546C}">
  <sheetPr codeName="Sheet2"/>
  <dimension ref="A3:B16"/>
  <sheetViews>
    <sheetView workbookViewId="0">
      <selection activeCell="B4" sqref="B4"/>
    </sheetView>
  </sheetViews>
  <sheetFormatPr defaultRowHeight="14.4" x14ac:dyDescent="0.3"/>
  <cols>
    <col min="1" max="1" width="41.109375" style="2" bestFit="1" customWidth="1"/>
    <col min="2" max="2" width="23.77734375" style="2" bestFit="1" customWidth="1"/>
    <col min="3" max="16384" width="8.88671875" style="2"/>
  </cols>
  <sheetData>
    <row r="3" spans="1:2" x14ac:dyDescent="0.3">
      <c r="A3" s="10" t="s">
        <v>25</v>
      </c>
      <c r="B3" s="2" t="s">
        <v>24</v>
      </c>
    </row>
    <row r="4" spans="1:2" x14ac:dyDescent="0.3">
      <c r="A4" s="2" t="s">
        <v>18</v>
      </c>
      <c r="B4" s="14">
        <v>1.5</v>
      </c>
    </row>
    <row r="5" spans="1:2" x14ac:dyDescent="0.3">
      <c r="A5" s="2" t="s">
        <v>8</v>
      </c>
      <c r="B5" s="2">
        <v>4</v>
      </c>
    </row>
    <row r="6" spans="1:2" x14ac:dyDescent="0.3">
      <c r="A6" s="2" t="s">
        <v>12</v>
      </c>
      <c r="B6" s="2">
        <v>5</v>
      </c>
    </row>
    <row r="7" spans="1:2" x14ac:dyDescent="0.3">
      <c r="A7" s="2" t="s">
        <v>16</v>
      </c>
      <c r="B7" s="2">
        <v>7.5</v>
      </c>
    </row>
    <row r="8" spans="1:2" x14ac:dyDescent="0.3">
      <c r="A8" s="2" t="s">
        <v>23</v>
      </c>
      <c r="B8" s="2">
        <v>4.5</v>
      </c>
    </row>
    <row r="12" spans="1:2" x14ac:dyDescent="0.3">
      <c r="A12" s="11" t="s">
        <v>26</v>
      </c>
      <c r="B12" s="11" t="str">
        <f>_xlfn.XLOOKUP(B4,B4:B7,A4:A7,)</f>
        <v>Feature Request</v>
      </c>
    </row>
    <row r="16" spans="1:2" x14ac:dyDescent="0.3">
      <c r="A16" s="11" t="s">
        <v>30</v>
      </c>
      <c r="B16" s="11">
        <f>VLOOKUP("Feature Request",A4:B7,2,FALSE)</f>
        <v>1.5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2C46-8160-474A-B0FF-5CD36BD2564F}">
  <sheetPr codeName="Sheet3"/>
  <dimension ref="A3:B14"/>
  <sheetViews>
    <sheetView workbookViewId="0">
      <selection activeCell="J21" sqref="J21"/>
    </sheetView>
  </sheetViews>
  <sheetFormatPr defaultRowHeight="14.4" x14ac:dyDescent="0.3"/>
  <cols>
    <col min="1" max="1" width="30.88671875" style="2" bestFit="1" customWidth="1"/>
    <col min="2" max="2" width="15.6640625" style="2" bestFit="1" customWidth="1"/>
    <col min="3" max="16384" width="8.88671875" style="2"/>
  </cols>
  <sheetData>
    <row r="3" spans="1:2" x14ac:dyDescent="0.3">
      <c r="A3" s="10" t="s">
        <v>3</v>
      </c>
      <c r="B3" s="2" t="s">
        <v>27</v>
      </c>
    </row>
    <row r="4" spans="1:2" x14ac:dyDescent="0.3">
      <c r="A4" s="2" t="s">
        <v>9</v>
      </c>
      <c r="B4" s="2">
        <v>5</v>
      </c>
    </row>
    <row r="5" spans="1:2" x14ac:dyDescent="0.3">
      <c r="A5" s="2" t="s">
        <v>13</v>
      </c>
      <c r="B5" s="2">
        <v>3</v>
      </c>
    </row>
    <row r="6" spans="1:2" x14ac:dyDescent="0.3">
      <c r="A6" s="2" t="s">
        <v>19</v>
      </c>
      <c r="B6" s="2">
        <v>2</v>
      </c>
    </row>
    <row r="7" spans="1:2" x14ac:dyDescent="0.3">
      <c r="A7" s="2" t="s">
        <v>23</v>
      </c>
      <c r="B7" s="2">
        <v>10</v>
      </c>
    </row>
    <row r="11" spans="1:2" x14ac:dyDescent="0.3">
      <c r="A11" s="11" t="s">
        <v>28</v>
      </c>
      <c r="B11" s="11" t="str">
        <f>_xlfn.XLOOKUP(B4,B4:B6,A4:A6,)</f>
        <v>High</v>
      </c>
    </row>
    <row r="14" spans="1:2" x14ac:dyDescent="0.3">
      <c r="A14" s="11" t="s">
        <v>29</v>
      </c>
      <c r="B14" s="11">
        <f>VLOOKUP(A4,A4:B6,2,FALSE)</f>
        <v>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227B-6C4D-440E-BBDD-B0F9CFE86DD2}">
  <sheetPr codeName="Sheet5"/>
  <dimension ref="A3:B14"/>
  <sheetViews>
    <sheetView workbookViewId="0">
      <selection activeCell="H23" sqref="H23"/>
    </sheetView>
  </sheetViews>
  <sheetFormatPr defaultRowHeight="14.4" x14ac:dyDescent="0.3"/>
  <cols>
    <col min="1" max="1" width="32.6640625" style="2" bestFit="1" customWidth="1"/>
    <col min="2" max="2" width="15.6640625" style="2" bestFit="1" customWidth="1"/>
    <col min="3" max="16384" width="8.88671875" style="2"/>
  </cols>
  <sheetData>
    <row r="3" spans="1:2" x14ac:dyDescent="0.3">
      <c r="A3" s="10" t="s">
        <v>7</v>
      </c>
      <c r="B3" s="2" t="s">
        <v>27</v>
      </c>
    </row>
    <row r="4" spans="1:2" x14ac:dyDescent="0.3">
      <c r="A4" s="2" t="s">
        <v>15</v>
      </c>
      <c r="B4" s="2">
        <v>5</v>
      </c>
    </row>
    <row r="5" spans="1:2" x14ac:dyDescent="0.3">
      <c r="A5" s="2" t="s">
        <v>11</v>
      </c>
      <c r="B5" s="2">
        <v>5</v>
      </c>
    </row>
    <row r="6" spans="1:2" x14ac:dyDescent="0.3">
      <c r="A6" s="2" t="s">
        <v>23</v>
      </c>
      <c r="B6" s="2">
        <v>10</v>
      </c>
    </row>
    <row r="10" spans="1:2" x14ac:dyDescent="0.3">
      <c r="A10" s="11" t="s">
        <v>34</v>
      </c>
      <c r="B10" s="11">
        <f>VLOOKUP("Yes",A4:B5,2,FALSE)</f>
        <v>5</v>
      </c>
    </row>
    <row r="14" spans="1:2" x14ac:dyDescent="0.3">
      <c r="A14" s="11" t="s">
        <v>35</v>
      </c>
      <c r="B14" s="11">
        <f>VLOOKUP("No",A4:B5,2,FALSE)</f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A873-C442-4671-A6E9-6614063F9176}">
  <sheetPr codeName="Sheet6"/>
  <dimension ref="A3:B17"/>
  <sheetViews>
    <sheetView workbookViewId="0">
      <selection activeCell="K24" sqref="K24"/>
    </sheetView>
  </sheetViews>
  <sheetFormatPr defaultRowHeight="14.4" x14ac:dyDescent="0.3"/>
  <cols>
    <col min="1" max="1" width="40.5546875" style="2" bestFit="1" customWidth="1"/>
    <col min="2" max="2" width="23.44140625" style="2" bestFit="1" customWidth="1"/>
    <col min="3" max="16384" width="8.88671875" style="2"/>
  </cols>
  <sheetData>
    <row r="3" spans="1:2" x14ac:dyDescent="0.3">
      <c r="A3" s="10" t="s">
        <v>37</v>
      </c>
      <c r="B3" s="2" t="s">
        <v>36</v>
      </c>
    </row>
    <row r="4" spans="1:2" x14ac:dyDescent="0.3">
      <c r="A4" s="2" t="s">
        <v>12</v>
      </c>
      <c r="B4" s="2">
        <v>2</v>
      </c>
    </row>
    <row r="5" spans="1:2" x14ac:dyDescent="0.3">
      <c r="A5" s="2" t="s">
        <v>16</v>
      </c>
      <c r="B5" s="2">
        <v>2</v>
      </c>
    </row>
    <row r="6" spans="1:2" x14ac:dyDescent="0.3">
      <c r="A6" s="2" t="s">
        <v>8</v>
      </c>
      <c r="B6" s="2">
        <v>1</v>
      </c>
    </row>
    <row r="7" spans="1:2" x14ac:dyDescent="0.3">
      <c r="A7" s="2" t="s">
        <v>18</v>
      </c>
      <c r="B7" s="2">
        <v>0</v>
      </c>
    </row>
    <row r="8" spans="1:2" x14ac:dyDescent="0.3">
      <c r="A8" s="2" t="s">
        <v>23</v>
      </c>
      <c r="B8" s="2">
        <v>5</v>
      </c>
    </row>
    <row r="13" spans="1:2" x14ac:dyDescent="0.3">
      <c r="A13" s="11" t="s">
        <v>38</v>
      </c>
      <c r="B13" s="11" t="str" cm="1">
        <f t="array" ref="B13">_xlfn.TEXTJOIN(",",FALSE,(_xlfn._xlws.FILTER(A4:A7,B4:B7=MAX(B4:B7))))</f>
        <v>Payment Issue,Bug Report</v>
      </c>
    </row>
    <row r="17" spans="1:2" x14ac:dyDescent="0.3">
      <c r="A17" s="11" t="s">
        <v>39</v>
      </c>
      <c r="B17" s="11">
        <f>VLOOKUP(A4,A4:B7,2,FALSE)</f>
        <v>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55CD-9A95-4F01-9B88-6A5C71292CF4}">
  <sheetPr codeName="Sheet7"/>
  <dimension ref="A1:B13"/>
  <sheetViews>
    <sheetView workbookViewId="0">
      <selection activeCell="J20" sqref="J20"/>
    </sheetView>
  </sheetViews>
  <sheetFormatPr defaultRowHeight="14.4" x14ac:dyDescent="0.3"/>
  <cols>
    <col min="1" max="1" width="35.77734375" style="2" bestFit="1" customWidth="1"/>
    <col min="2" max="2" width="15.6640625" style="2" bestFit="1" customWidth="1"/>
    <col min="3" max="16384" width="8.88671875" style="2"/>
  </cols>
  <sheetData>
    <row r="1" spans="1:2" x14ac:dyDescent="0.3">
      <c r="A1" s="10" t="s">
        <v>21</v>
      </c>
      <c r="B1" s="2" t="s">
        <v>27</v>
      </c>
    </row>
    <row r="2" spans="1:2" x14ac:dyDescent="0.3">
      <c r="A2" s="2" t="s">
        <v>13</v>
      </c>
      <c r="B2" s="2">
        <v>4</v>
      </c>
    </row>
    <row r="3" spans="1:2" x14ac:dyDescent="0.3">
      <c r="A3" s="2" t="s">
        <v>19</v>
      </c>
      <c r="B3" s="2">
        <v>4</v>
      </c>
    </row>
    <row r="4" spans="1:2" x14ac:dyDescent="0.3">
      <c r="A4" s="2" t="s">
        <v>9</v>
      </c>
      <c r="B4" s="2">
        <v>2</v>
      </c>
    </row>
    <row r="5" spans="1:2" x14ac:dyDescent="0.3">
      <c r="A5" s="2" t="s">
        <v>23</v>
      </c>
      <c r="B5" s="2">
        <v>10</v>
      </c>
    </row>
    <row r="9" spans="1:2" x14ac:dyDescent="0.3">
      <c r="A9" s="11" t="s">
        <v>40</v>
      </c>
      <c r="B9" s="11" t="str">
        <f>_xlfn.XLOOKUP(B4,B2:B4,A2:A4,)</f>
        <v>High</v>
      </c>
    </row>
    <row r="13" spans="1:2" x14ac:dyDescent="0.3">
      <c r="A13" s="11" t="s">
        <v>41</v>
      </c>
      <c r="B13" s="11">
        <f>VLOOKUP(A4,A2:B4,2,FALSE)</f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795F-7310-4B69-84AD-63D99FF16ECD}">
  <sheetPr codeName="Sheet1"/>
  <dimension ref="A1:K11"/>
  <sheetViews>
    <sheetView workbookViewId="0">
      <selection activeCell="H23" sqref="H23"/>
    </sheetView>
  </sheetViews>
  <sheetFormatPr defaultRowHeight="14.4" x14ac:dyDescent="0.3"/>
  <cols>
    <col min="1" max="1" width="7.77734375" style="2" bestFit="1" customWidth="1"/>
    <col min="2" max="2" width="10.33203125" style="6" bestFit="1" customWidth="1"/>
    <col min="3" max="3" width="14.33203125" style="9" bestFit="1" customWidth="1"/>
    <col min="4" max="4" width="7.6640625" style="9" bestFit="1" customWidth="1"/>
    <col min="5" max="5" width="20" style="2" bestFit="1" customWidth="1"/>
    <col min="6" max="6" width="6" style="9" bestFit="1" customWidth="1"/>
    <col min="7" max="7" width="19.109375" style="2" bestFit="1" customWidth="1"/>
    <col min="8" max="8" width="8.88671875" style="9"/>
    <col min="9" max="9" width="12.77734375" style="2" bestFit="1" customWidth="1"/>
    <col min="10" max="11" width="15.21875" style="9" bestFit="1" customWidth="1"/>
    <col min="12" max="16384" width="8.88671875" style="2"/>
  </cols>
  <sheetData>
    <row r="1" spans="1:11" x14ac:dyDescent="0.3">
      <c r="A1" s="1" t="s">
        <v>0</v>
      </c>
      <c r="B1" s="5" t="s">
        <v>1</v>
      </c>
      <c r="C1" s="7" t="s">
        <v>2</v>
      </c>
      <c r="D1" s="7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20</v>
      </c>
      <c r="J1" s="7" t="s">
        <v>21</v>
      </c>
      <c r="K1" s="7" t="s">
        <v>22</v>
      </c>
    </row>
    <row r="2" spans="1:11" x14ac:dyDescent="0.3">
      <c r="A2" s="3">
        <v>3001</v>
      </c>
      <c r="B2" s="4">
        <v>46122</v>
      </c>
      <c r="C2" s="8" t="s">
        <v>8</v>
      </c>
      <c r="D2" s="8" t="s">
        <v>9</v>
      </c>
      <c r="E2" s="3">
        <v>5</v>
      </c>
      <c r="F2" s="8" t="s">
        <v>10</v>
      </c>
      <c r="G2" s="3">
        <v>3</v>
      </c>
      <c r="H2" s="8" t="s">
        <v>11</v>
      </c>
      <c r="I2" s="2">
        <f>IF(H2="Yes",1,0)</f>
        <v>1</v>
      </c>
      <c r="J2" s="9" t="str">
        <f>IF(G2&lt;=2,"Low",IF(G2&lt;=4,"Medium","High"))</f>
        <v>Medium</v>
      </c>
      <c r="K2" s="9" t="str">
        <f>IF(E2&lt;=3,"Fast",IF(E2&lt;=6,"Moderate","Slow"))</f>
        <v>Moderate</v>
      </c>
    </row>
    <row r="3" spans="1:11" x14ac:dyDescent="0.3">
      <c r="A3" s="3">
        <v>3002</v>
      </c>
      <c r="B3" s="4">
        <v>46122</v>
      </c>
      <c r="C3" s="8" t="s">
        <v>12</v>
      </c>
      <c r="D3" s="8" t="s">
        <v>13</v>
      </c>
      <c r="E3" s="3">
        <v>3</v>
      </c>
      <c r="F3" s="8" t="s">
        <v>14</v>
      </c>
      <c r="G3" s="3">
        <v>4</v>
      </c>
      <c r="H3" s="8" t="s">
        <v>15</v>
      </c>
      <c r="I3" s="2">
        <f t="shared" ref="I3:I11" si="0">IF(H3="Yes",1,0)</f>
        <v>0</v>
      </c>
      <c r="J3" s="9" t="str">
        <f t="shared" ref="J3:J11" si="1">IF(G3&lt;=2,"Low",IF(G3&lt;=4,"Medium","High"))</f>
        <v>Medium</v>
      </c>
      <c r="K3" s="9" t="str">
        <f t="shared" ref="K3:K11" si="2">IF(E3&lt;=3,"Fast",IF(E3&lt;=6,"Moderate","Slow"))</f>
        <v>Fast</v>
      </c>
    </row>
    <row r="4" spans="1:11" x14ac:dyDescent="0.3">
      <c r="A4" s="3">
        <v>3003</v>
      </c>
      <c r="B4" s="4">
        <v>46123</v>
      </c>
      <c r="C4" s="8" t="s">
        <v>16</v>
      </c>
      <c r="D4" s="8" t="s">
        <v>9</v>
      </c>
      <c r="E4" s="3">
        <v>8</v>
      </c>
      <c r="F4" s="8" t="s">
        <v>17</v>
      </c>
      <c r="G4" s="3">
        <v>2</v>
      </c>
      <c r="H4" s="8" t="s">
        <v>11</v>
      </c>
      <c r="I4" s="2">
        <f t="shared" si="0"/>
        <v>1</v>
      </c>
      <c r="J4" s="9" t="str">
        <f t="shared" si="1"/>
        <v>Low</v>
      </c>
      <c r="K4" s="9" t="str">
        <f t="shared" si="2"/>
        <v>Slow</v>
      </c>
    </row>
    <row r="5" spans="1:11" x14ac:dyDescent="0.3">
      <c r="A5" s="3">
        <v>3004</v>
      </c>
      <c r="B5" s="4">
        <v>46123</v>
      </c>
      <c r="C5" s="8" t="s">
        <v>18</v>
      </c>
      <c r="D5" s="8" t="s">
        <v>19</v>
      </c>
      <c r="E5" s="3">
        <v>2</v>
      </c>
      <c r="F5" s="8" t="s">
        <v>10</v>
      </c>
      <c r="G5" s="3">
        <v>5</v>
      </c>
      <c r="H5" s="8" t="s">
        <v>15</v>
      </c>
      <c r="I5" s="2">
        <f t="shared" si="0"/>
        <v>0</v>
      </c>
      <c r="J5" s="9" t="str">
        <f t="shared" si="1"/>
        <v>High</v>
      </c>
      <c r="K5" s="9" t="str">
        <f t="shared" si="2"/>
        <v>Fast</v>
      </c>
    </row>
    <row r="6" spans="1:11" x14ac:dyDescent="0.3">
      <c r="A6" s="3">
        <v>3005</v>
      </c>
      <c r="B6" s="4">
        <v>46124</v>
      </c>
      <c r="C6" s="8" t="s">
        <v>8</v>
      </c>
      <c r="D6" s="8" t="s">
        <v>13</v>
      </c>
      <c r="E6" s="3">
        <v>4</v>
      </c>
      <c r="F6" s="8" t="s">
        <v>14</v>
      </c>
      <c r="G6" s="3">
        <v>3</v>
      </c>
      <c r="H6" s="8" t="s">
        <v>15</v>
      </c>
      <c r="I6" s="2">
        <f t="shared" si="0"/>
        <v>0</v>
      </c>
      <c r="J6" s="9" t="str">
        <f t="shared" si="1"/>
        <v>Medium</v>
      </c>
      <c r="K6" s="9" t="str">
        <f t="shared" si="2"/>
        <v>Moderate</v>
      </c>
    </row>
    <row r="7" spans="1:11" x14ac:dyDescent="0.3">
      <c r="A7" s="3">
        <v>3006</v>
      </c>
      <c r="B7" s="4">
        <v>46124</v>
      </c>
      <c r="C7" s="8" t="s">
        <v>12</v>
      </c>
      <c r="D7" s="8" t="s">
        <v>9</v>
      </c>
      <c r="E7" s="3">
        <v>6</v>
      </c>
      <c r="F7" s="8" t="s">
        <v>17</v>
      </c>
      <c r="G7" s="3">
        <v>2</v>
      </c>
      <c r="H7" s="8" t="s">
        <v>11</v>
      </c>
      <c r="I7" s="2">
        <f t="shared" si="0"/>
        <v>1</v>
      </c>
      <c r="J7" s="9" t="str">
        <f t="shared" si="1"/>
        <v>Low</v>
      </c>
      <c r="K7" s="9" t="str">
        <f t="shared" si="2"/>
        <v>Moderate</v>
      </c>
    </row>
    <row r="8" spans="1:11" x14ac:dyDescent="0.3">
      <c r="A8" s="3">
        <v>3007</v>
      </c>
      <c r="B8" s="4">
        <v>46125</v>
      </c>
      <c r="C8" s="8" t="s">
        <v>16</v>
      </c>
      <c r="D8" s="8" t="s">
        <v>9</v>
      </c>
      <c r="E8" s="3">
        <v>7</v>
      </c>
      <c r="F8" s="8" t="s">
        <v>10</v>
      </c>
      <c r="G8" s="3">
        <v>2</v>
      </c>
      <c r="H8" s="8" t="s">
        <v>11</v>
      </c>
      <c r="I8" s="2">
        <f t="shared" si="0"/>
        <v>1</v>
      </c>
      <c r="J8" s="9" t="str">
        <f t="shared" si="1"/>
        <v>Low</v>
      </c>
      <c r="K8" s="9" t="str">
        <f t="shared" si="2"/>
        <v>Slow</v>
      </c>
    </row>
    <row r="9" spans="1:11" x14ac:dyDescent="0.3">
      <c r="A9" s="3">
        <v>3008</v>
      </c>
      <c r="B9" s="4">
        <v>46125</v>
      </c>
      <c r="C9" s="8" t="s">
        <v>18</v>
      </c>
      <c r="D9" s="8" t="s">
        <v>19</v>
      </c>
      <c r="E9" s="3">
        <v>1</v>
      </c>
      <c r="F9" s="8" t="s">
        <v>14</v>
      </c>
      <c r="G9" s="3">
        <v>5</v>
      </c>
      <c r="H9" s="8" t="s">
        <v>15</v>
      </c>
      <c r="I9" s="2">
        <f t="shared" si="0"/>
        <v>0</v>
      </c>
      <c r="J9" s="9" t="str">
        <f t="shared" si="1"/>
        <v>High</v>
      </c>
      <c r="K9" s="9" t="str">
        <f t="shared" si="2"/>
        <v>Fast</v>
      </c>
    </row>
    <row r="10" spans="1:11" x14ac:dyDescent="0.3">
      <c r="A10" s="3">
        <v>3009</v>
      </c>
      <c r="B10" s="4">
        <v>46126</v>
      </c>
      <c r="C10" s="8" t="s">
        <v>8</v>
      </c>
      <c r="D10" s="8" t="s">
        <v>13</v>
      </c>
      <c r="E10" s="3">
        <v>3</v>
      </c>
      <c r="F10" s="8" t="s">
        <v>17</v>
      </c>
      <c r="G10" s="3">
        <v>4</v>
      </c>
      <c r="H10" s="8" t="s">
        <v>15</v>
      </c>
      <c r="I10" s="2">
        <f t="shared" si="0"/>
        <v>0</v>
      </c>
      <c r="J10" s="9" t="str">
        <f t="shared" si="1"/>
        <v>Medium</v>
      </c>
      <c r="K10" s="9" t="str">
        <f t="shared" si="2"/>
        <v>Fast</v>
      </c>
    </row>
    <row r="11" spans="1:11" x14ac:dyDescent="0.3">
      <c r="A11" s="3">
        <v>3010</v>
      </c>
      <c r="B11" s="4">
        <v>46126</v>
      </c>
      <c r="C11" s="8" t="s">
        <v>12</v>
      </c>
      <c r="D11" s="8" t="s">
        <v>9</v>
      </c>
      <c r="E11" s="3">
        <v>6</v>
      </c>
      <c r="F11" s="8" t="s">
        <v>10</v>
      </c>
      <c r="G11" s="3">
        <v>2</v>
      </c>
      <c r="H11" s="8" t="s">
        <v>11</v>
      </c>
      <c r="I11" s="2">
        <f t="shared" si="0"/>
        <v>1</v>
      </c>
      <c r="J11" s="9" t="str">
        <f t="shared" si="1"/>
        <v>Low</v>
      </c>
      <c r="K11" s="9" t="str">
        <f t="shared" si="2"/>
        <v>Moderate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Avg Customer Satisfaction by Ag</vt:lpstr>
      <vt:lpstr>Avg Resolution Time by Issue ty</vt:lpstr>
      <vt:lpstr>Ticket Count by Priority</vt:lpstr>
      <vt:lpstr>Ticket count by Escalated</vt:lpstr>
      <vt:lpstr>Escalation Flag by Issue Type</vt:lpstr>
      <vt:lpstr>Ticket Count by Satisfaction Le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2026-04-20T07:00:47Z</dcterms:created>
  <dcterms:modified xsi:type="dcterms:W3CDTF">2026-04-20T12:21:51Z</dcterms:modified>
</cp:coreProperties>
</file>