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ebd91e607248c2/TASKS/TASK 15/"/>
    </mc:Choice>
  </mc:AlternateContent>
  <xr:revisionPtr revIDLastSave="7" documentId="8_{5F64AD48-2E5C-49A8-8396-5F9A6BB432DA}" xr6:coauthVersionLast="47" xr6:coauthVersionMax="47" xr10:uidLastSave="{67A3E269-92CE-49B5-B791-1EB942CB3279}"/>
  <bookViews>
    <workbookView xWindow="-108" yWindow="-108" windowWidth="23256" windowHeight="12456" xr2:uid="{574FD22C-85BB-427C-A0B0-2AB01D561A11}"/>
  </bookViews>
  <sheets>
    <sheet name="Avg DiscountPercent by Return S" sheetId="4" r:id="rId1"/>
    <sheet name="Return rate by ProductCategory" sheetId="2" r:id="rId2"/>
    <sheet name="DeliverySpeedCategory by Custom" sheetId="5" r:id="rId3"/>
    <sheet name="Avg DiscountPercent by PaymentM" sheetId="6" r:id="rId4"/>
    <sheet name="Avg FinalAmount by ProductCateg" sheetId="7" r:id="rId5"/>
    <sheet name="Dataset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B16" i="7"/>
  <c r="B12" i="7"/>
  <c r="B16" i="6"/>
  <c r="B12" i="6"/>
  <c r="B10" i="5"/>
  <c r="B13" i="4"/>
  <c r="B9" i="4"/>
  <c r="B15" i="2"/>
  <c r="B11" i="2" a="1"/>
  <c r="B11" i="2" s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<sst xmlns="http://schemas.openxmlformats.org/spreadsheetml/2006/main" count="95" uniqueCount="51">
  <si>
    <t>OrderID</t>
  </si>
  <si>
    <t>ProductCategory</t>
  </si>
  <si>
    <t>OrderValue</t>
  </si>
  <si>
    <t>DeliveryDays</t>
  </si>
  <si>
    <t>CustomerRating</t>
  </si>
  <si>
    <t>Returned</t>
  </si>
  <si>
    <t>PaymentMethod</t>
  </si>
  <si>
    <t>DiscountPercent</t>
  </si>
  <si>
    <t>E1001</t>
  </si>
  <si>
    <t>Electronics</t>
  </si>
  <si>
    <t>Yes</t>
  </si>
  <si>
    <t>COD</t>
  </si>
  <si>
    <t>E1002</t>
  </si>
  <si>
    <t>Fashion</t>
  </si>
  <si>
    <t>No</t>
  </si>
  <si>
    <t>UPI</t>
  </si>
  <si>
    <t>E1003</t>
  </si>
  <si>
    <t>Home Decor</t>
  </si>
  <si>
    <t>Card</t>
  </si>
  <si>
    <t>E1004</t>
  </si>
  <si>
    <t>E1005</t>
  </si>
  <si>
    <t>E1006</t>
  </si>
  <si>
    <t>Grocery</t>
  </si>
  <si>
    <t>Wallet</t>
  </si>
  <si>
    <t>E1007</t>
  </si>
  <si>
    <t>E1008</t>
  </si>
  <si>
    <t>E1009</t>
  </si>
  <si>
    <t>E1010</t>
  </si>
  <si>
    <t>DiscountAmount</t>
  </si>
  <si>
    <t>FinalAmount</t>
  </si>
  <si>
    <t>ReturnFlag</t>
  </si>
  <si>
    <t>DeliverySpeedCategory</t>
  </si>
  <si>
    <t>DiscountCategory</t>
  </si>
  <si>
    <t>Grand Total</t>
  </si>
  <si>
    <t>Sum of ReturnFlag</t>
  </si>
  <si>
    <t>Which ProductCategories have lowest returnrate</t>
  </si>
  <si>
    <t>What's the lowest return rate</t>
  </si>
  <si>
    <t>Fast Delivery</t>
  </si>
  <si>
    <t>Moderate Delivery</t>
  </si>
  <si>
    <t>Slow Delivery</t>
  </si>
  <si>
    <t>Avg of CustomerRating</t>
  </si>
  <si>
    <t>Which DeliverySpeedCategory has highest CustomerRating</t>
  </si>
  <si>
    <t>Avg of DiscountPercent</t>
  </si>
  <si>
    <t>Which Return status has highest DiscountPercent</t>
  </si>
  <si>
    <t>What's the highest DiscountPercent</t>
  </si>
  <si>
    <t xml:space="preserve">What's the highest customer rating </t>
  </si>
  <si>
    <t>Which PaymentMethod has lowest DiscountPercent</t>
  </si>
  <si>
    <t>What's the lowest DiscountPercent</t>
  </si>
  <si>
    <t>Avg of FinalAmount</t>
  </si>
  <si>
    <t>Which ProductCategory has generating lowest income</t>
  </si>
  <si>
    <t>What's the lowest income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</si>
</sst>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_ [$₹-4009]\ * #,##0_ ;_ [$₹-4009]\ * \-#,##0_ ;_ [$₹-4009]\ * &quot;-&quot;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15.xlsx]Avg DiscountPercent by Return 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DiscountPercent by Return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DiscountPercent by Return 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FDE-4A85-8A05-AF3A7542833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DE-4A85-8A05-AF3A75428337}"/>
              </c:ext>
            </c:extLst>
          </c:dPt>
          <c:cat>
            <c:strRef>
              <c:f>'Avg DiscountPercent by Return S'!$A$4:$A$6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'Avg DiscountPercent by Return S'!$B$4:$B$6</c:f>
              <c:numCache>
                <c:formatCode>0.00%</c:formatCode>
                <c:ptCount val="2"/>
                <c:pt idx="0">
                  <c:v>0.20400000000000001</c:v>
                </c:pt>
                <c:pt idx="1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D-412F-A77B-00CE95C47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083295"/>
        <c:axId val="1187088095"/>
      </c:barChart>
      <c:catAx>
        <c:axId val="118708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88095"/>
        <c:crosses val="autoZero"/>
        <c:auto val="1"/>
        <c:lblAlgn val="ctr"/>
        <c:lblOffset val="100"/>
        <c:noMultiLvlLbl val="0"/>
      </c:catAx>
      <c:valAx>
        <c:axId val="118708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8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15.xlsx]Return rate by ProductCategory!PivotTable1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rate by ProductCategory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'Return rate by ProductCategory'!$B$3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24E-4F1C-A79E-ED6F187A78B9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4E-4F1C-A79E-ED6F187A78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4F-404E-A7EE-9EFAB47390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C4F-404E-A7EE-9EFAB473900B}"/>
              </c:ext>
            </c:extLst>
          </c:dPt>
          <c:cat>
            <c:strRef>
              <c:f>'Return rate by ProductCategory'!$A$4:$A$8</c:f>
              <c:strCache>
                <c:ptCount val="4"/>
                <c:pt idx="0">
                  <c:v>Electronics</c:v>
                </c:pt>
                <c:pt idx="1">
                  <c:v>Home Decor</c:v>
                </c:pt>
                <c:pt idx="2">
                  <c:v>Grocery</c:v>
                </c:pt>
                <c:pt idx="3">
                  <c:v>Fashion</c:v>
                </c:pt>
              </c:strCache>
            </c:strRef>
          </c:cat>
          <c:val>
            <c:numRef>
              <c:f>'Return rate by ProductCategory'!$B$4:$B$8</c:f>
              <c:numCache>
                <c:formatCode>0</c:formatCode>
                <c:ptCount val="4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C-429E-8627-147586AC0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15.xlsx]DeliverySpeedCategory by Custom!PivotTable2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DeliverySpeedCategory by CustomerRating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'DeliverySpeedCategory by Custom'!$B$3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970-49B9-A429-D4C392FABD7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70-49B9-A429-D4C392FABD7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70-49B9-A429-D4C392FABD7C}"/>
              </c:ext>
            </c:extLst>
          </c:dPt>
          <c:cat>
            <c:strRef>
              <c:f>'DeliverySpeedCategory by Custom'!$A$4:$A$7</c:f>
              <c:strCache>
                <c:ptCount val="3"/>
                <c:pt idx="0">
                  <c:v>Slow Delivery</c:v>
                </c:pt>
                <c:pt idx="1">
                  <c:v>Moderate Delivery</c:v>
                </c:pt>
                <c:pt idx="2">
                  <c:v>Fast Delivery</c:v>
                </c:pt>
              </c:strCache>
            </c:strRef>
          </c:cat>
          <c:val>
            <c:numRef>
              <c:f>'DeliverySpeedCategory by Custom'!$B$4:$B$7</c:f>
              <c:numCache>
                <c:formatCode>0</c:formatCode>
                <c:ptCount val="3"/>
                <c:pt idx="0">
                  <c:v>1.3333333333333333</c:v>
                </c:pt>
                <c:pt idx="1">
                  <c:v>2.75</c:v>
                </c:pt>
                <c:pt idx="2">
                  <c:v>4.666666666666667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7-41C7-999F-2DF872527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7098175"/>
        <c:axId val="1187081855"/>
      </c:barChart>
      <c:catAx>
        <c:axId val="118709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81855"/>
        <c:crosses val="autoZero"/>
        <c:auto val="1"/>
        <c:lblAlgn val="ctr"/>
        <c:lblOffset val="100"/>
        <c:noMultiLvlLbl val="0"/>
      </c:catAx>
      <c:valAx>
        <c:axId val="118708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9817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15.xlsx]Avg DiscountPercent by PaymentM!PivotTable3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DiscountPercent by PaymentMethod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'Avg DiscountPercent by PaymentM'!$B$3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4D-42C6-8541-02F244FE3DAE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4D-42C6-8541-02F244FE3DAE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4D-42C6-8541-02F244FE3DAE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D4D-42C6-8541-02F244FE3DAE}"/>
              </c:ext>
            </c:extLst>
          </c:dPt>
          <c:cat>
            <c:strRef>
              <c:f>'Avg DiscountPercent by PaymentM'!$A$4:$A$8</c:f>
              <c:strCache>
                <c:ptCount val="4"/>
                <c:pt idx="0">
                  <c:v>UPI</c:v>
                </c:pt>
                <c:pt idx="1">
                  <c:v>Card</c:v>
                </c:pt>
                <c:pt idx="2">
                  <c:v>COD</c:v>
                </c:pt>
                <c:pt idx="3">
                  <c:v>Wallet</c:v>
                </c:pt>
              </c:strCache>
            </c:strRef>
          </c:cat>
          <c:val>
            <c:numRef>
              <c:f>'Avg DiscountPercent by PaymentM'!$B$4:$B$8</c:f>
              <c:numCache>
                <c:formatCode>0%</c:formatCode>
                <c:ptCount val="4"/>
                <c:pt idx="0">
                  <c:v>0.26666666666666666</c:v>
                </c:pt>
                <c:pt idx="1">
                  <c:v>0.21666666666666665</c:v>
                </c:pt>
                <c:pt idx="2">
                  <c:v>0.15666666666666665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4-49D0-9260-F2DD3737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15.xlsx]Avg FinalAmount by ProductCateg!PivotTable4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FinalAmount by ProductCategory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10000"/>
            </a:schemeClr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bg2">
              <a:lumMod val="50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'Avg FinalAmount by ProductCateg'!$B$3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2D16-4E5E-9584-09E639771A5C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D16-4E5E-9584-09E639771A5C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2D16-4E5E-9584-09E639771A5C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2D16-4E5E-9584-09E639771A5C}"/>
              </c:ext>
            </c:extLst>
          </c:dPt>
          <c:cat>
            <c:strRef>
              <c:f>'Avg FinalAmount by ProductCateg'!$A$4:$A$8</c:f>
              <c:strCache>
                <c:ptCount val="4"/>
                <c:pt idx="0">
                  <c:v>Electronics</c:v>
                </c:pt>
                <c:pt idx="1">
                  <c:v>Home Decor</c:v>
                </c:pt>
                <c:pt idx="2">
                  <c:v>Fashion</c:v>
                </c:pt>
                <c:pt idx="3">
                  <c:v>Grocery</c:v>
                </c:pt>
              </c:strCache>
            </c:strRef>
          </c:cat>
          <c:val>
            <c:numRef>
              <c:f>'Avg FinalAmount by ProductCateg'!$B$4:$B$8</c:f>
              <c:numCache>
                <c:formatCode>_ [$₹-4009]\ * #,##0.00_ ;_ [$₹-4009]\ * \-#,##0.00_ ;_ [$₹-4009]\ * "-"??_ ;_ @_ </c:formatCode>
                <c:ptCount val="4"/>
                <c:pt idx="0">
                  <c:v>35137.5</c:v>
                </c:pt>
                <c:pt idx="1">
                  <c:v>5158</c:v>
                </c:pt>
                <c:pt idx="2">
                  <c:v>2493.3333333333335</c:v>
                </c:pt>
                <c:pt idx="3">
                  <c:v>1710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A-4601-ACD2-FD40F7FA8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cylinder"/>
        <c:axId val="1563868879"/>
        <c:axId val="1563883759"/>
        <c:axId val="0"/>
      </c:bar3DChart>
      <c:catAx>
        <c:axId val="156386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83759"/>
        <c:crosses val="autoZero"/>
        <c:auto val="1"/>
        <c:lblAlgn val="ctr"/>
        <c:lblOffset val="100"/>
        <c:noMultiLvlLbl val="0"/>
      </c:catAx>
      <c:valAx>
        <c:axId val="156388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6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140970</xdr:rowOff>
    </xdr:from>
    <xdr:to>
      <xdr:col>10</xdr:col>
      <xdr:colOff>594360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A7DDD-4EE3-12A3-1B84-5B04FDD05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156210</xdr:rowOff>
    </xdr:from>
    <xdr:to>
      <xdr:col>12</xdr:col>
      <xdr:colOff>7620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721B3-3952-7DA1-0402-F8813BAF7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1</xdr:row>
      <xdr:rowOff>163830</xdr:rowOff>
    </xdr:from>
    <xdr:to>
      <xdr:col>11</xdr:col>
      <xdr:colOff>579120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3DAA6-F832-B626-6F4B-E52031F79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716280</xdr:colOff>
      <xdr:row>1</xdr:row>
      <xdr:rowOff>179070</xdr:rowOff>
    </xdr:from>
    <xdr:to>
      <xdr:col>9</xdr:col>
      <xdr:colOff>152400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D32E2-442C-978B-C6F7-2AC73A0A7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163830</xdr:rowOff>
    </xdr:from>
    <xdr:to>
      <xdr:col>12</xdr:col>
      <xdr:colOff>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E2EC2-332B-B201-240C-C68E0300F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79.951759027776" createdVersion="8" refreshedVersion="8" minRefreshableVersion="3" recordCount="10" xr:uid="{5B8076B7-9785-466C-865E-BA6A03D96742}">
  <cacheSource type="worksheet">
    <worksheetSource ref="A1:M11" sheet="Dataset"/>
  </cacheSource>
  <cacheFields count="13">
    <cacheField name="OrderID" numFmtId="0">
      <sharedItems/>
    </cacheField>
    <cacheField name="ProductCategory" numFmtId="49">
      <sharedItems count="4">
        <s v="Electronics"/>
        <s v="Fashion"/>
        <s v="Home Decor"/>
        <s v="Grocery"/>
      </sharedItems>
    </cacheField>
    <cacheField name="OrderValue" numFmtId="165">
      <sharedItems containsSemiMixedTypes="0" containsString="0" containsNumber="1" containsInteger="1" minValue="1800" maxValue="52000"/>
    </cacheField>
    <cacheField name="DeliveryDays" numFmtId="1">
      <sharedItems containsSemiMixedTypes="0" containsString="0" containsNumber="1" containsInteger="1" minValue="1" maxValue="10"/>
    </cacheField>
    <cacheField name="CustomerRating" numFmtId="1">
      <sharedItems containsSemiMixedTypes="0" containsString="0" containsNumber="1" containsInteger="1" minValue="1" maxValue="5"/>
    </cacheField>
    <cacheField name="Returned" numFmtId="49">
      <sharedItems count="2">
        <s v="Yes"/>
        <s v="No"/>
      </sharedItems>
    </cacheField>
    <cacheField name="PaymentMethod" numFmtId="49">
      <sharedItems count="4">
        <s v="COD"/>
        <s v="UPI"/>
        <s v="Card"/>
        <s v="Wallet"/>
      </sharedItems>
    </cacheField>
    <cacheField name="DiscountPercent" numFmtId="9">
      <sharedItems containsSemiMixedTypes="0" containsString="0" containsNumber="1" minValue="0.05" maxValue="0.35"/>
    </cacheField>
    <cacheField name="DiscountAmount" numFmtId="164">
      <sharedItems containsSemiMixedTypes="0" containsString="0" containsNumber="1" minValue="90" maxValue="14100"/>
    </cacheField>
    <cacheField name="FinalAmount" numFmtId="164">
      <sharedItems containsSemiMixedTypes="0" containsString="0" containsNumber="1" containsInteger="1" minValue="1710" maxValue="39000"/>
    </cacheField>
    <cacheField name="ReturnFlag" numFmtId="1">
      <sharedItems containsSemiMixedTypes="0" containsString="0" containsNumber="1" containsInteger="1" minValue="0" maxValue="1"/>
    </cacheField>
    <cacheField name="DeliverySpeedCategory" numFmtId="49">
      <sharedItems count="3">
        <s v="Moderate Delivery"/>
        <s v="Fast Delivery"/>
        <s v="Slow Delivery"/>
      </sharedItems>
    </cacheField>
    <cacheField name="DiscountCategory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1001"/>
    <x v="0"/>
    <n v="45000"/>
    <n v="6"/>
    <n v="2"/>
    <x v="0"/>
    <x v="0"/>
    <n v="0.15"/>
    <n v="6750"/>
    <n v="38250"/>
    <n v="1"/>
    <x v="0"/>
    <s v="Moderate Discount"/>
  </r>
  <r>
    <s v="E1002"/>
    <x v="1"/>
    <n v="3200"/>
    <n v="3"/>
    <n v="5"/>
    <x v="1"/>
    <x v="1"/>
    <n v="0.3"/>
    <n v="960"/>
    <n v="2240"/>
    <n v="0"/>
    <x v="1"/>
    <s v="High Discount"/>
  </r>
  <r>
    <s v="E1003"/>
    <x v="2"/>
    <n v="5400"/>
    <n v="5"/>
    <n v="4"/>
    <x v="1"/>
    <x v="2"/>
    <n v="0.1"/>
    <n v="540"/>
    <n v="4860"/>
    <n v="0"/>
    <x v="0"/>
    <s v="Moderate Discount"/>
  </r>
  <r>
    <s v="E1004"/>
    <x v="0"/>
    <n v="38000"/>
    <n v="8"/>
    <n v="1"/>
    <x v="0"/>
    <x v="0"/>
    <n v="0.2"/>
    <n v="7600"/>
    <n v="30400"/>
    <n v="1"/>
    <x v="2"/>
    <s v="Moderate Discount"/>
  </r>
  <r>
    <s v="E1005"/>
    <x v="1"/>
    <n v="2700"/>
    <n v="2"/>
    <n v="5"/>
    <x v="1"/>
    <x v="1"/>
    <n v="0.35"/>
    <n v="944.99999999999989"/>
    <n v="1755"/>
    <n v="0"/>
    <x v="1"/>
    <s v="High Discount"/>
  </r>
  <r>
    <s v="E1006"/>
    <x v="3"/>
    <n v="1800"/>
    <n v="1"/>
    <n v="4"/>
    <x v="1"/>
    <x v="3"/>
    <n v="0.05"/>
    <n v="90"/>
    <n v="1710"/>
    <n v="0"/>
    <x v="1"/>
    <s v="Low Discount"/>
  </r>
  <r>
    <s v="E1007"/>
    <x v="0"/>
    <n v="52000"/>
    <n v="9"/>
    <n v="2"/>
    <x v="0"/>
    <x v="2"/>
    <n v="0.25"/>
    <n v="13000"/>
    <n v="39000"/>
    <n v="1"/>
    <x v="2"/>
    <s v="High Discount"/>
  </r>
  <r>
    <s v="E1008"/>
    <x v="1"/>
    <n v="4100"/>
    <n v="4"/>
    <n v="3"/>
    <x v="1"/>
    <x v="1"/>
    <n v="0.15"/>
    <n v="615"/>
    <n v="3485"/>
    <n v="0"/>
    <x v="0"/>
    <s v="Moderate Discount"/>
  </r>
  <r>
    <s v="E1009"/>
    <x v="2"/>
    <n v="6200"/>
    <n v="6"/>
    <n v="2"/>
    <x v="0"/>
    <x v="0"/>
    <n v="0.12"/>
    <n v="744"/>
    <n v="5456"/>
    <n v="1"/>
    <x v="0"/>
    <s v="Moderate Discount"/>
  </r>
  <r>
    <s v="E1010"/>
    <x v="0"/>
    <n v="47000"/>
    <n v="10"/>
    <n v="1"/>
    <x v="0"/>
    <x v="2"/>
    <n v="0.3"/>
    <n v="14100"/>
    <n v="32900"/>
    <n v="1"/>
    <x v="2"/>
    <s v="High Discou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0E1D8-0331-4C6C-992B-D8CF3525C0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turned">
  <location ref="A3:B6" firstHeaderRow="1" firstDataRow="1" firstDataCol="1"/>
  <pivotFields count="13">
    <pivotField showAll="0"/>
    <pivotField showAll="0"/>
    <pivotField numFmtId="165" showAll="0"/>
    <pivotField numFmtId="1" showAll="0"/>
    <pivotField numFmtId="1"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9" showAll="0"/>
    <pivotField numFmtId="164" showAll="0"/>
    <pivotField numFmtId="164" showAll="0"/>
    <pivotField numFmtId="1" showAll="0"/>
    <pivotField showAll="0"/>
    <pivotField showAll="0"/>
  </pivotFields>
  <rowFields count="1">
    <field x="5"/>
  </rowFields>
  <rowItems count="3">
    <i>
      <x v="1"/>
    </i>
    <i>
      <x/>
    </i>
    <i t="grand">
      <x/>
    </i>
  </rowItems>
  <colItems count="1">
    <i/>
  </colItems>
  <dataFields count="1">
    <dataField name="Avg of DiscountPercent" fld="7" subtotal="average" baseField="5" baseItem="0" numFmtId="10"/>
  </dataFields>
  <formats count="14"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5" type="button" dataOnly="0" labelOnly="1" outline="0" axis="axisRow" fieldPosition="0"/>
    </format>
    <format dxfId="44">
      <pivotArea dataOnly="0" labelOnly="1" fieldPosition="0">
        <references count="1">
          <reference field="5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5" type="button" dataOnly="0" labelOnly="1" outline="0" axis="axisRow" fieldPosition="0"/>
    </format>
    <format dxfId="38">
      <pivotArea dataOnly="0" labelOnly="1" fieldPosition="0">
        <references count="1">
          <reference field="5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D70B4-B40B-4029-8763-C800163C60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Category">
  <location ref="A3:B8" firstHeaderRow="1" firstDataRow="1" firstDataCol="1"/>
  <pivotFields count="13"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" showAll="0"/>
    <pivotField numFmtId="1" showAll="0"/>
    <pivotField showAll="0"/>
    <pivotField showAll="0"/>
    <pivotField numFmtId="9" showAll="0"/>
    <pivotField numFmtId="164" showAll="0"/>
    <pivotField numFmtId="164" showAll="0"/>
    <pivotField dataField="1" numFmtId="1" showAll="0"/>
    <pivotField showAll="0"/>
    <pivotField showAll="0"/>
  </pivotFields>
  <rowFields count="1">
    <field x="1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ReturnFlag" fld="10" baseField="0" baseItem="0" numFmtId="1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704E1-C354-44FE-B101-A5EDF8E9414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liverySpeedCategory">
  <location ref="A3:B7" firstHeaderRow="1" firstDataRow="1" firstDataCol="1"/>
  <pivotFields count="13">
    <pivotField showAll="0"/>
    <pivotField showAll="0"/>
    <pivotField numFmtId="165" showAll="0"/>
    <pivotField numFmtId="1" showAll="0"/>
    <pivotField dataField="1" numFmtId="1" showAll="0"/>
    <pivotField showAll="0"/>
    <pivotField showAll="0"/>
    <pivotField numFmtId="9" showAll="0"/>
    <pivotField numFmtId="164" showAll="0"/>
    <pivotField numFmtId="164" showAll="0"/>
    <pivotField numFmtId="1" showAll="0"/>
    <pivotField axis="axisRow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g of CustomerRating" fld="4" subtotal="average" baseField="11" baseItem="0" numFmtId="1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1" type="button" dataOnly="0" labelOnly="1" outline="0" axis="axisRow" fieldPosition="0"/>
    </format>
    <format dxfId="20">
      <pivotArea dataOnly="0" labelOnly="1" fieldPosition="0">
        <references count="1">
          <reference field="1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1" type="button" dataOnly="0" labelOnly="1" outline="0" axis="axisRow" fieldPosition="0"/>
    </format>
    <format dxfId="14">
      <pivotArea dataOnly="0" labelOnly="1" fieldPosition="0">
        <references count="1">
          <reference field="1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5AE88-D17C-4A0A-BA6C-BD982973690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aymentMethod">
  <location ref="A3:B8" firstHeaderRow="1" firstDataRow="1" firstDataCol="1"/>
  <pivotFields count="13">
    <pivotField showAll="0"/>
    <pivotField showAll="0"/>
    <pivotField numFmtId="165" showAll="0"/>
    <pivotField numFmtId="1" showAll="0"/>
    <pivotField numFmtId="1"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9" showAll="0"/>
    <pivotField numFmtId="164" showAll="0"/>
    <pivotField numFmtId="164" showAll="0"/>
    <pivotField numFmtId="1" showAll="0"/>
    <pivotField showAll="0"/>
    <pivotField showAll="0"/>
  </pivotFields>
  <rowFields count="1">
    <field x="6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Avg of DiscountPercent" fld="7" subtotal="average" baseField="6" baseItem="0" numFmtId="9"/>
  </dataFields>
  <formats count="12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6" type="button" dataOnly="0" labelOnly="1" outline="0" axis="axisRow" fieldPosition="0"/>
    </format>
    <format dxfId="58">
      <pivotArea dataOnly="0" labelOnly="1" fieldPosition="0">
        <references count="1">
          <reference field="6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6" type="button" dataOnly="0" labelOnly="1" outline="0" axis="axisRow" fieldPosition="0"/>
    </format>
    <format dxfId="52">
      <pivotArea dataOnly="0" labelOnly="1" fieldPosition="0">
        <references count="1">
          <reference field="6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36DBE-341D-4418-A683-A1956F33187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Category">
  <location ref="A3:B8" firstHeaderRow="1" firstDataRow="1" firstDataCol="1"/>
  <pivotFields count="13"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" showAll="0"/>
    <pivotField numFmtId="1" showAll="0"/>
    <pivotField showAll="0"/>
    <pivotField showAll="0"/>
    <pivotField numFmtId="9" showAll="0"/>
    <pivotField numFmtId="164" showAll="0"/>
    <pivotField dataField="1" numFmtId="164" showAll="0"/>
    <pivotField numFmtId="1" showAll="0"/>
    <pivotField showAll="0"/>
    <pivotField showAll="0"/>
  </pivotFields>
  <rowFields count="1">
    <field x="1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Avg of FinalAmount" fld="9" subtotal="average" baseField="1" baseItem="0" numFmtId="16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659C-B492-436D-B0EB-0CE2A4118C71}">
  <sheetPr codeName="Sheet4"/>
  <dimension ref="A3:B13"/>
  <sheetViews>
    <sheetView tabSelected="1" workbookViewId="0">
      <selection activeCell="J24" sqref="J24"/>
    </sheetView>
  </sheetViews>
  <sheetFormatPr defaultRowHeight="14.4" x14ac:dyDescent="0.3"/>
  <cols>
    <col min="1" max="1" width="42.88671875" style="2" bestFit="1" customWidth="1"/>
    <col min="2" max="2" width="20.88671875" style="14" bestFit="1" customWidth="1"/>
    <col min="3" max="3" width="4" style="2" bestFit="1" customWidth="1"/>
    <col min="4" max="16384" width="8.88671875" style="2"/>
  </cols>
  <sheetData>
    <row r="3" spans="1:2" x14ac:dyDescent="0.3">
      <c r="A3" s="13" t="s">
        <v>5</v>
      </c>
      <c r="B3" s="14" t="s">
        <v>42</v>
      </c>
    </row>
    <row r="4" spans="1:2" x14ac:dyDescent="0.3">
      <c r="A4" s="2" t="s">
        <v>10</v>
      </c>
      <c r="B4" s="14">
        <v>0.20400000000000001</v>
      </c>
    </row>
    <row r="5" spans="1:2" x14ac:dyDescent="0.3">
      <c r="A5" s="2" t="s">
        <v>14</v>
      </c>
      <c r="B5" s="14">
        <v>0.19</v>
      </c>
    </row>
    <row r="6" spans="1:2" x14ac:dyDescent="0.3">
      <c r="A6" s="2" t="s">
        <v>33</v>
      </c>
      <c r="B6" s="14">
        <v>0.19700000000000001</v>
      </c>
    </row>
    <row r="9" spans="1:2" x14ac:dyDescent="0.3">
      <c r="A9" s="1" t="s">
        <v>43</v>
      </c>
      <c r="B9" s="15" t="str">
        <f>_xlfn.XLOOKUP(MAX(B4:B5),B4:B5,A4:A5,)</f>
        <v>Yes</v>
      </c>
    </row>
    <row r="13" spans="1:2" x14ac:dyDescent="0.3">
      <c r="A13" s="1" t="s">
        <v>44</v>
      </c>
      <c r="B13" s="15">
        <f>VLOOKUP(A4,A4:B5,2,FALSE)</f>
        <v>0.20400000000000001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A7DC-DA9B-45B0-B4E1-A7CDCA91CFCB}">
  <sheetPr codeName="Sheet2"/>
  <dimension ref="A3:B15"/>
  <sheetViews>
    <sheetView workbookViewId="0">
      <selection activeCell="J25" sqref="J25"/>
    </sheetView>
  </sheetViews>
  <sheetFormatPr defaultRowHeight="14.4" x14ac:dyDescent="0.3"/>
  <cols>
    <col min="1" max="1" width="42.5546875" style="2" bestFit="1" customWidth="1"/>
    <col min="2" max="2" width="16.5546875" style="2" bestFit="1" customWidth="1"/>
    <col min="3" max="16384" width="8.88671875" style="2"/>
  </cols>
  <sheetData>
    <row r="3" spans="1:2" x14ac:dyDescent="0.3">
      <c r="A3" s="13" t="s">
        <v>1</v>
      </c>
      <c r="B3" s="2" t="s">
        <v>34</v>
      </c>
    </row>
    <row r="4" spans="1:2" x14ac:dyDescent="0.3">
      <c r="A4" s="2" t="s">
        <v>9</v>
      </c>
      <c r="B4" s="12">
        <v>4</v>
      </c>
    </row>
    <row r="5" spans="1:2" x14ac:dyDescent="0.3">
      <c r="A5" s="2" t="s">
        <v>17</v>
      </c>
      <c r="B5" s="12">
        <v>1</v>
      </c>
    </row>
    <row r="6" spans="1:2" x14ac:dyDescent="0.3">
      <c r="A6" s="2" t="s">
        <v>22</v>
      </c>
      <c r="B6" s="12">
        <v>0</v>
      </c>
    </row>
    <row r="7" spans="1:2" x14ac:dyDescent="0.3">
      <c r="A7" s="2" t="s">
        <v>13</v>
      </c>
      <c r="B7" s="12">
        <v>0</v>
      </c>
    </row>
    <row r="8" spans="1:2" x14ac:dyDescent="0.3">
      <c r="A8" s="2" t="s">
        <v>33</v>
      </c>
      <c r="B8" s="12">
        <v>5</v>
      </c>
    </row>
    <row r="11" spans="1:2" x14ac:dyDescent="0.3">
      <c r="A11" s="1" t="s">
        <v>35</v>
      </c>
      <c r="B11" s="1" t="str" cm="1">
        <f t="array" ref="B11">_xlfn.TEXTJOIN(",",TRUE,_xlfn._xlws.FILTER(A4:A7,B4:B7=MIN(B4:B7)))</f>
        <v>Grocery,Fashion</v>
      </c>
    </row>
    <row r="15" spans="1:2" x14ac:dyDescent="0.3">
      <c r="A15" s="1" t="s">
        <v>36</v>
      </c>
      <c r="B15" s="1">
        <f>VLOOKUP(A7,A4:B7,2,FALSE)</f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4EA7-8A5B-405A-B7B4-FADA55D19601}">
  <sheetPr codeName="Sheet5"/>
  <dimension ref="A3:B14"/>
  <sheetViews>
    <sheetView workbookViewId="0">
      <selection activeCell="A19" sqref="A19"/>
    </sheetView>
  </sheetViews>
  <sheetFormatPr defaultRowHeight="14.4" x14ac:dyDescent="0.3"/>
  <cols>
    <col min="1" max="1" width="51.21875" style="2" bestFit="1" customWidth="1"/>
    <col min="2" max="2" width="20.5546875" style="2" bestFit="1" customWidth="1"/>
    <col min="3" max="16384" width="8.88671875" style="2"/>
  </cols>
  <sheetData>
    <row r="3" spans="1:2" x14ac:dyDescent="0.3">
      <c r="A3" s="13" t="s">
        <v>31</v>
      </c>
      <c r="B3" s="2" t="s">
        <v>40</v>
      </c>
    </row>
    <row r="4" spans="1:2" x14ac:dyDescent="0.3">
      <c r="A4" s="2" t="s">
        <v>39</v>
      </c>
      <c r="B4" s="12">
        <v>1.3333333333333333</v>
      </c>
    </row>
    <row r="5" spans="1:2" x14ac:dyDescent="0.3">
      <c r="A5" s="2" t="s">
        <v>38</v>
      </c>
      <c r="B5" s="12">
        <v>2.75</v>
      </c>
    </row>
    <row r="6" spans="1:2" x14ac:dyDescent="0.3">
      <c r="A6" s="2" t="s">
        <v>37</v>
      </c>
      <c r="B6" s="12">
        <v>4.666666666666667</v>
      </c>
    </row>
    <row r="7" spans="1:2" x14ac:dyDescent="0.3">
      <c r="A7" s="2" t="s">
        <v>33</v>
      </c>
      <c r="B7" s="12">
        <v>2.9</v>
      </c>
    </row>
    <row r="10" spans="1:2" x14ac:dyDescent="0.3">
      <c r="A10" s="1" t="s">
        <v>41</v>
      </c>
      <c r="B10" s="1" t="str">
        <f>_xlfn.XLOOKUP(MAX(B4:B6),B4:B6,A4:A6,)</f>
        <v>Fast Delivery</v>
      </c>
    </row>
    <row r="14" spans="1:2" x14ac:dyDescent="0.3">
      <c r="A14" s="1" t="s">
        <v>45</v>
      </c>
      <c r="B14" s="11">
        <f>VLOOKUP(A6,A4:B6,2,FALSE)</f>
        <v>4.666666666666667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0417-6F54-4959-B701-8C631DC56CBE}">
  <sheetPr codeName="Sheet6"/>
  <dimension ref="A3:B16"/>
  <sheetViews>
    <sheetView workbookViewId="0">
      <selection activeCell="J21" sqref="J21"/>
    </sheetView>
  </sheetViews>
  <sheetFormatPr defaultRowHeight="14.4" x14ac:dyDescent="0.3"/>
  <cols>
    <col min="1" max="1" width="45.44140625" style="2" bestFit="1" customWidth="1"/>
    <col min="2" max="2" width="20.88671875" style="2" bestFit="1" customWidth="1"/>
    <col min="3" max="3" width="15.77734375" style="2" customWidth="1"/>
    <col min="4" max="16384" width="8.88671875" style="2"/>
  </cols>
  <sheetData>
    <row r="3" spans="1:2" x14ac:dyDescent="0.3">
      <c r="A3" s="13" t="s">
        <v>6</v>
      </c>
      <c r="B3" s="2" t="s">
        <v>42</v>
      </c>
    </row>
    <row r="4" spans="1:2" x14ac:dyDescent="0.3">
      <c r="A4" s="2" t="s">
        <v>15</v>
      </c>
      <c r="B4" s="4">
        <v>0.26666666666666666</v>
      </c>
    </row>
    <row r="5" spans="1:2" x14ac:dyDescent="0.3">
      <c r="A5" s="2" t="s">
        <v>18</v>
      </c>
      <c r="B5" s="4">
        <v>0.21666666666666665</v>
      </c>
    </row>
    <row r="6" spans="1:2" x14ac:dyDescent="0.3">
      <c r="A6" s="2" t="s">
        <v>11</v>
      </c>
      <c r="B6" s="4">
        <v>0.15666666666666665</v>
      </c>
    </row>
    <row r="7" spans="1:2" x14ac:dyDescent="0.3">
      <c r="A7" s="2" t="s">
        <v>23</v>
      </c>
      <c r="B7" s="4">
        <v>0.05</v>
      </c>
    </row>
    <row r="8" spans="1:2" x14ac:dyDescent="0.3">
      <c r="A8" s="2" t="s">
        <v>33</v>
      </c>
      <c r="B8" s="4">
        <v>0.19700000000000001</v>
      </c>
    </row>
    <row r="12" spans="1:2" x14ac:dyDescent="0.3">
      <c r="A12" s="1" t="s">
        <v>46</v>
      </c>
      <c r="B12" s="1" t="str">
        <f>_xlfn.XLOOKUP(MIN(B4:B7),B4:B7,A4:A7,)</f>
        <v>Wallet</v>
      </c>
    </row>
    <row r="16" spans="1:2" x14ac:dyDescent="0.3">
      <c r="A16" s="1" t="s">
        <v>47</v>
      </c>
      <c r="B16" s="3">
        <f>VLOOKUP(A7,A4:B7,2,FALSE)</f>
        <v>0.05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142A-403A-4EEA-AC7A-01E9E1C8C46E}">
  <sheetPr codeName="Sheet7"/>
  <dimension ref="A3:B16"/>
  <sheetViews>
    <sheetView workbookViewId="0">
      <selection activeCell="C24" sqref="C24"/>
    </sheetView>
  </sheetViews>
  <sheetFormatPr defaultRowHeight="14.4" x14ac:dyDescent="0.3"/>
  <cols>
    <col min="1" max="1" width="47.33203125" style="2" bestFit="1" customWidth="1"/>
    <col min="2" max="2" width="17.88671875" style="2" bestFit="1" customWidth="1"/>
    <col min="3" max="16384" width="8.88671875" style="2"/>
  </cols>
  <sheetData>
    <row r="3" spans="1:2" x14ac:dyDescent="0.3">
      <c r="A3" s="13" t="s">
        <v>1</v>
      </c>
      <c r="B3" s="2" t="s">
        <v>48</v>
      </c>
    </row>
    <row r="4" spans="1:2" x14ac:dyDescent="0.3">
      <c r="A4" s="2" t="s">
        <v>9</v>
      </c>
      <c r="B4" s="6">
        <v>35137.5</v>
      </c>
    </row>
    <row r="5" spans="1:2" x14ac:dyDescent="0.3">
      <c r="A5" s="2" t="s">
        <v>17</v>
      </c>
      <c r="B5" s="6">
        <v>5158</v>
      </c>
    </row>
    <row r="6" spans="1:2" x14ac:dyDescent="0.3">
      <c r="A6" s="2" t="s">
        <v>13</v>
      </c>
      <c r="B6" s="6">
        <v>2493.3333333333335</v>
      </c>
    </row>
    <row r="7" spans="1:2" x14ac:dyDescent="0.3">
      <c r="A7" s="2" t="s">
        <v>22</v>
      </c>
      <c r="B7" s="6">
        <v>1710</v>
      </c>
    </row>
    <row r="8" spans="1:2" x14ac:dyDescent="0.3">
      <c r="A8" s="2" t="s">
        <v>33</v>
      </c>
      <c r="B8" s="6">
        <v>16005.6</v>
      </c>
    </row>
    <row r="12" spans="1:2" x14ac:dyDescent="0.3">
      <c r="A12" s="1" t="s">
        <v>49</v>
      </c>
      <c r="B12" s="1" t="str">
        <f>_xlfn.XLOOKUP(MIN(B4:B7),B4:B7,A4:A7,)</f>
        <v>Grocery</v>
      </c>
    </row>
    <row r="16" spans="1:2" x14ac:dyDescent="0.3">
      <c r="A16" s="1" t="s">
        <v>50</v>
      </c>
      <c r="B16" s="5">
        <f>VLOOKUP(A7,A4:B7,2,FALSE)</f>
        <v>1710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54D2-36E0-486A-B2C7-43F5F8B11972}">
  <sheetPr codeName="Sheet1"/>
  <dimension ref="A1:M11"/>
  <sheetViews>
    <sheetView workbookViewId="0">
      <selection activeCell="G23" sqref="G23"/>
    </sheetView>
  </sheetViews>
  <sheetFormatPr defaultRowHeight="14.4" x14ac:dyDescent="0.3"/>
  <cols>
    <col min="1" max="1" width="7.5546875" style="2" bestFit="1" customWidth="1"/>
    <col min="2" max="2" width="15.33203125" style="8" bestFit="1" customWidth="1"/>
    <col min="3" max="3" width="11.44140625" style="10" bestFit="1" customWidth="1"/>
    <col min="4" max="4" width="11.77734375" style="12" bestFit="1" customWidth="1"/>
    <col min="5" max="5" width="14.5546875" style="12" bestFit="1" customWidth="1"/>
    <col min="6" max="6" width="8.77734375" style="8" bestFit="1" customWidth="1"/>
    <col min="7" max="7" width="15.44140625" style="8" bestFit="1" customWidth="1"/>
    <col min="8" max="8" width="14.88671875" style="4" bestFit="1" customWidth="1"/>
    <col min="9" max="9" width="16.21875" style="6" bestFit="1" customWidth="1"/>
    <col min="10" max="10" width="11.77734375" style="2" bestFit="1" customWidth="1"/>
    <col min="11" max="11" width="10" style="12" bestFit="1" customWidth="1"/>
    <col min="12" max="12" width="20.77734375" style="8" bestFit="1" customWidth="1"/>
    <col min="13" max="13" width="16.77734375" style="8" bestFit="1" customWidth="1"/>
    <col min="14" max="16384" width="8.88671875" style="2"/>
  </cols>
  <sheetData>
    <row r="1" spans="1:13" x14ac:dyDescent="0.3">
      <c r="A1" s="1" t="s">
        <v>0</v>
      </c>
      <c r="B1" s="7" t="s">
        <v>1</v>
      </c>
      <c r="C1" s="9" t="s">
        <v>2</v>
      </c>
      <c r="D1" s="11" t="s">
        <v>3</v>
      </c>
      <c r="E1" s="11" t="s">
        <v>4</v>
      </c>
      <c r="F1" s="7" t="s">
        <v>5</v>
      </c>
      <c r="G1" s="7" t="s">
        <v>6</v>
      </c>
      <c r="H1" s="3" t="s">
        <v>7</v>
      </c>
      <c r="I1" s="5" t="s">
        <v>28</v>
      </c>
      <c r="J1" s="1" t="s">
        <v>29</v>
      </c>
      <c r="K1" s="11" t="s">
        <v>30</v>
      </c>
      <c r="L1" s="7" t="s">
        <v>31</v>
      </c>
      <c r="M1" s="7" t="s">
        <v>32</v>
      </c>
    </row>
    <row r="2" spans="1:13" x14ac:dyDescent="0.3">
      <c r="A2" s="2" t="s">
        <v>8</v>
      </c>
      <c r="B2" s="8" t="s">
        <v>9</v>
      </c>
      <c r="C2" s="10">
        <v>45000</v>
      </c>
      <c r="D2" s="12">
        <v>6</v>
      </c>
      <c r="E2" s="12">
        <v>2</v>
      </c>
      <c r="F2" s="8" t="s">
        <v>10</v>
      </c>
      <c r="G2" s="8" t="s">
        <v>11</v>
      </c>
      <c r="H2" s="4">
        <v>0.15</v>
      </c>
      <c r="I2" s="6">
        <f>(C2*H2)</f>
        <v>6750</v>
      </c>
      <c r="J2" s="6">
        <f>C2-I2</f>
        <v>38250</v>
      </c>
      <c r="K2" s="12">
        <f>IF(F2="Yes",1,0)</f>
        <v>1</v>
      </c>
      <c r="L2" s="8" t="str">
        <f>IF(D2&lt;=3,"Fast Delivery",IF(D2&lt;=6,"Moderate Delivery","Slow Delivery"))</f>
        <v>Moderate Delivery</v>
      </c>
      <c r="M2" s="8" t="str">
        <f>IF(H2&lt;10%,"Low Discount",IF(H2&lt;=20%,"Moderate Discount","High Discount"))</f>
        <v>Moderate Discount</v>
      </c>
    </row>
    <row r="3" spans="1:13" x14ac:dyDescent="0.3">
      <c r="A3" s="2" t="s">
        <v>12</v>
      </c>
      <c r="B3" s="8" t="s">
        <v>13</v>
      </c>
      <c r="C3" s="10">
        <v>3200</v>
      </c>
      <c r="D3" s="12">
        <v>3</v>
      </c>
      <c r="E3" s="12">
        <v>5</v>
      </c>
      <c r="F3" s="8" t="s">
        <v>14</v>
      </c>
      <c r="G3" s="8" t="s">
        <v>15</v>
      </c>
      <c r="H3" s="4">
        <v>0.3</v>
      </c>
      <c r="I3" s="6">
        <f t="shared" ref="I3:I11" si="0">(C3*H3)</f>
        <v>960</v>
      </c>
      <c r="J3" s="6">
        <f t="shared" ref="J3:J11" si="1">C3-I3</f>
        <v>2240</v>
      </c>
      <c r="K3" s="12">
        <f t="shared" ref="K3:K11" si="2">IF(F3="Yes",1,0)</f>
        <v>0</v>
      </c>
      <c r="L3" s="8" t="str">
        <f t="shared" ref="L3:L11" si="3">IF(D3&lt;=3,"Fast Delivery",IF(D3&lt;=6,"Moderate Delivery","Slow Delivery"))</f>
        <v>Fast Delivery</v>
      </c>
      <c r="M3" s="8" t="str">
        <f t="shared" ref="M3:M11" si="4">IF(H3&lt;10%,"Low Discount",IF(H3&lt;=20%,"Moderate Discount","High Discount"))</f>
        <v>High Discount</v>
      </c>
    </row>
    <row r="4" spans="1:13" x14ac:dyDescent="0.3">
      <c r="A4" s="2" t="s">
        <v>16</v>
      </c>
      <c r="B4" s="8" t="s">
        <v>17</v>
      </c>
      <c r="C4" s="10">
        <v>5400</v>
      </c>
      <c r="D4" s="12">
        <v>5</v>
      </c>
      <c r="E4" s="12">
        <v>4</v>
      </c>
      <c r="F4" s="8" t="s">
        <v>14</v>
      </c>
      <c r="G4" s="8" t="s">
        <v>18</v>
      </c>
      <c r="H4" s="4">
        <v>0.1</v>
      </c>
      <c r="I4" s="6">
        <f t="shared" si="0"/>
        <v>540</v>
      </c>
      <c r="J4" s="6">
        <f t="shared" si="1"/>
        <v>4860</v>
      </c>
      <c r="K4" s="12">
        <f t="shared" si="2"/>
        <v>0</v>
      </c>
      <c r="L4" s="8" t="str">
        <f t="shared" si="3"/>
        <v>Moderate Delivery</v>
      </c>
      <c r="M4" s="8" t="str">
        <f t="shared" si="4"/>
        <v>Moderate Discount</v>
      </c>
    </row>
    <row r="5" spans="1:13" x14ac:dyDescent="0.3">
      <c r="A5" s="2" t="s">
        <v>19</v>
      </c>
      <c r="B5" s="8" t="s">
        <v>9</v>
      </c>
      <c r="C5" s="10">
        <v>38000</v>
      </c>
      <c r="D5" s="12">
        <v>8</v>
      </c>
      <c r="E5" s="12">
        <v>1</v>
      </c>
      <c r="F5" s="8" t="s">
        <v>10</v>
      </c>
      <c r="G5" s="8" t="s">
        <v>11</v>
      </c>
      <c r="H5" s="4">
        <v>0.2</v>
      </c>
      <c r="I5" s="6">
        <f t="shared" si="0"/>
        <v>7600</v>
      </c>
      <c r="J5" s="6">
        <f t="shared" si="1"/>
        <v>30400</v>
      </c>
      <c r="K5" s="12">
        <f t="shared" si="2"/>
        <v>1</v>
      </c>
      <c r="L5" s="8" t="str">
        <f t="shared" si="3"/>
        <v>Slow Delivery</v>
      </c>
      <c r="M5" s="8" t="str">
        <f t="shared" si="4"/>
        <v>Moderate Discount</v>
      </c>
    </row>
    <row r="6" spans="1:13" x14ac:dyDescent="0.3">
      <c r="A6" s="2" t="s">
        <v>20</v>
      </c>
      <c r="B6" s="8" t="s">
        <v>13</v>
      </c>
      <c r="C6" s="10">
        <v>2700</v>
      </c>
      <c r="D6" s="12">
        <v>2</v>
      </c>
      <c r="E6" s="12">
        <v>5</v>
      </c>
      <c r="F6" s="8" t="s">
        <v>14</v>
      </c>
      <c r="G6" s="8" t="s">
        <v>15</v>
      </c>
      <c r="H6" s="4">
        <v>0.35</v>
      </c>
      <c r="I6" s="6">
        <f t="shared" si="0"/>
        <v>944.99999999999989</v>
      </c>
      <c r="J6" s="6">
        <f t="shared" si="1"/>
        <v>1755</v>
      </c>
      <c r="K6" s="12">
        <f t="shared" si="2"/>
        <v>0</v>
      </c>
      <c r="L6" s="8" t="str">
        <f t="shared" si="3"/>
        <v>Fast Delivery</v>
      </c>
      <c r="M6" s="8" t="str">
        <f t="shared" si="4"/>
        <v>High Discount</v>
      </c>
    </row>
    <row r="7" spans="1:13" x14ac:dyDescent="0.3">
      <c r="A7" s="2" t="s">
        <v>21</v>
      </c>
      <c r="B7" s="8" t="s">
        <v>22</v>
      </c>
      <c r="C7" s="10">
        <v>1800</v>
      </c>
      <c r="D7" s="12">
        <v>1</v>
      </c>
      <c r="E7" s="12">
        <v>4</v>
      </c>
      <c r="F7" s="8" t="s">
        <v>14</v>
      </c>
      <c r="G7" s="8" t="s">
        <v>23</v>
      </c>
      <c r="H7" s="4">
        <v>0.05</v>
      </c>
      <c r="I7" s="6">
        <f t="shared" si="0"/>
        <v>90</v>
      </c>
      <c r="J7" s="6">
        <f t="shared" si="1"/>
        <v>1710</v>
      </c>
      <c r="K7" s="12">
        <f t="shared" si="2"/>
        <v>0</v>
      </c>
      <c r="L7" s="8" t="str">
        <f t="shared" si="3"/>
        <v>Fast Delivery</v>
      </c>
      <c r="M7" s="8" t="str">
        <f t="shared" si="4"/>
        <v>Low Discount</v>
      </c>
    </row>
    <row r="8" spans="1:13" x14ac:dyDescent="0.3">
      <c r="A8" s="2" t="s">
        <v>24</v>
      </c>
      <c r="B8" s="8" t="s">
        <v>9</v>
      </c>
      <c r="C8" s="10">
        <v>52000</v>
      </c>
      <c r="D8" s="12">
        <v>9</v>
      </c>
      <c r="E8" s="12">
        <v>2</v>
      </c>
      <c r="F8" s="8" t="s">
        <v>10</v>
      </c>
      <c r="G8" s="8" t="s">
        <v>18</v>
      </c>
      <c r="H8" s="4">
        <v>0.25</v>
      </c>
      <c r="I8" s="6">
        <f t="shared" si="0"/>
        <v>13000</v>
      </c>
      <c r="J8" s="6">
        <f t="shared" si="1"/>
        <v>39000</v>
      </c>
      <c r="K8" s="12">
        <f t="shared" si="2"/>
        <v>1</v>
      </c>
      <c r="L8" s="8" t="str">
        <f t="shared" si="3"/>
        <v>Slow Delivery</v>
      </c>
      <c r="M8" s="8" t="str">
        <f t="shared" si="4"/>
        <v>High Discount</v>
      </c>
    </row>
    <row r="9" spans="1:13" x14ac:dyDescent="0.3">
      <c r="A9" s="2" t="s">
        <v>25</v>
      </c>
      <c r="B9" s="8" t="s">
        <v>13</v>
      </c>
      <c r="C9" s="10">
        <v>4100</v>
      </c>
      <c r="D9" s="12">
        <v>4</v>
      </c>
      <c r="E9" s="12">
        <v>3</v>
      </c>
      <c r="F9" s="8" t="s">
        <v>14</v>
      </c>
      <c r="G9" s="8" t="s">
        <v>15</v>
      </c>
      <c r="H9" s="4">
        <v>0.15</v>
      </c>
      <c r="I9" s="6">
        <f t="shared" si="0"/>
        <v>615</v>
      </c>
      <c r="J9" s="6">
        <f t="shared" si="1"/>
        <v>3485</v>
      </c>
      <c r="K9" s="12">
        <f t="shared" si="2"/>
        <v>0</v>
      </c>
      <c r="L9" s="8" t="str">
        <f t="shared" si="3"/>
        <v>Moderate Delivery</v>
      </c>
      <c r="M9" s="8" t="str">
        <f t="shared" si="4"/>
        <v>Moderate Discount</v>
      </c>
    </row>
    <row r="10" spans="1:13" x14ac:dyDescent="0.3">
      <c r="A10" s="2" t="s">
        <v>26</v>
      </c>
      <c r="B10" s="8" t="s">
        <v>17</v>
      </c>
      <c r="C10" s="10">
        <v>6200</v>
      </c>
      <c r="D10" s="12">
        <v>6</v>
      </c>
      <c r="E10" s="12">
        <v>2</v>
      </c>
      <c r="F10" s="8" t="s">
        <v>10</v>
      </c>
      <c r="G10" s="8" t="s">
        <v>11</v>
      </c>
      <c r="H10" s="4">
        <v>0.12</v>
      </c>
      <c r="I10" s="6">
        <f t="shared" si="0"/>
        <v>744</v>
      </c>
      <c r="J10" s="6">
        <f t="shared" si="1"/>
        <v>5456</v>
      </c>
      <c r="K10" s="12">
        <f t="shared" si="2"/>
        <v>1</v>
      </c>
      <c r="L10" s="8" t="str">
        <f t="shared" si="3"/>
        <v>Moderate Delivery</v>
      </c>
      <c r="M10" s="8" t="str">
        <f t="shared" si="4"/>
        <v>Moderate Discount</v>
      </c>
    </row>
    <row r="11" spans="1:13" x14ac:dyDescent="0.3">
      <c r="A11" s="2" t="s">
        <v>27</v>
      </c>
      <c r="B11" s="8" t="s">
        <v>9</v>
      </c>
      <c r="C11" s="10">
        <v>47000</v>
      </c>
      <c r="D11" s="12">
        <v>10</v>
      </c>
      <c r="E11" s="12">
        <v>1</v>
      </c>
      <c r="F11" s="8" t="s">
        <v>10</v>
      </c>
      <c r="G11" s="8" t="s">
        <v>18</v>
      </c>
      <c r="H11" s="4">
        <v>0.3</v>
      </c>
      <c r="I11" s="6">
        <f t="shared" si="0"/>
        <v>14100</v>
      </c>
      <c r="J11" s="6">
        <f t="shared" si="1"/>
        <v>32900</v>
      </c>
      <c r="K11" s="12">
        <f t="shared" si="2"/>
        <v>1</v>
      </c>
      <c r="L11" s="8" t="str">
        <f t="shared" si="3"/>
        <v>Slow Delivery</v>
      </c>
      <c r="M11" s="8" t="str">
        <f t="shared" si="4"/>
        <v>High Discount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Avg DiscountPercent by Return S</vt:lpstr>
      <vt:lpstr>Return rate by ProductCategory</vt:lpstr>
      <vt:lpstr>DeliverySpeedCategory by Custom</vt:lpstr>
      <vt:lpstr>Avg DiscountPercent by PaymentM</vt:lpstr>
      <vt:lpstr>Avg FinalAmount by ProductCateg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</dc:creator>
  <cp:lastModifiedBy>Swaroopa B</cp:lastModifiedBy>
  <dcterms:created xsi:type="dcterms:W3CDTF">2026-06-06T17:02:43Z</dcterms:created>
  <dcterms:modified xsi:type="dcterms:W3CDTF">2026-06-11T17:26:23Z</dcterms:modified>
</cp:coreProperties>
</file>